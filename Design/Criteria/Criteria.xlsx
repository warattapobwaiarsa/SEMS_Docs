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" sheetId="1" r:id="rId4"/>
    <sheet state="visible" name="Criteria" sheetId="2" r:id="rId5"/>
    <sheet state="visible" name="Sheet3" sheetId="3" r:id="rId6"/>
    <sheet state="visible" name="Data" sheetId="4" r:id="rId7"/>
  </sheets>
  <definedNames/>
  <calcPr/>
  <extLst>
    <ext uri="GoogleSheetsCustomDataVersion2">
      <go:sheetsCustomData xmlns:go="http://customooxmlschemas.google.com/" r:id="rId8" roundtripDataChecksum="bpbXHJbiEjXFFQH1sPW/sgE5zIFwgW4rfOiznTQ89xU="/>
    </ext>
  </extLst>
</workbook>
</file>

<file path=xl/sharedStrings.xml><?xml version="1.0" encoding="utf-8"?>
<sst xmlns="http://schemas.openxmlformats.org/spreadsheetml/2006/main" count="594" uniqueCount="159">
  <si>
    <t>* กรอกเลขลำดับของนักศึกษาใน Column D &gt;&gt;
ขอให้อาจารย์แจ้งนักศึกษาตรวจสอบเลขบัตรประชาชนด้วยครับ
รอบนี้จะโอนเงินผ่านระบบ Promtpay 
เข้าบัญชีที่ผูกกับเลขบัตรประชาชน</t>
  </si>
  <si>
    <t>กรอกหมายเลขลำดับนักศึกษาในช่องนี้</t>
  </si>
  <si>
    <t>รหัส</t>
  </si>
  <si>
    <t>ชื่อ - สกุล</t>
  </si>
  <si>
    <t xml:space="preserve">  ค่าเทอม</t>
  </si>
  <si>
    <t xml:space="preserve">  ค่าใช้จ่ายประจำวัน</t>
  </si>
  <si>
    <t xml:space="preserve">  ทำงานพิเศษ</t>
  </si>
  <si>
    <t xml:space="preserve">  การนำทุนไปใช้ประโยชน์</t>
  </si>
  <si>
    <t xml:space="preserve">  ค่าที่พัก (ค่าเช่า ค่าน้ำ ค่าไฟ)</t>
  </si>
  <si>
    <t xml:space="preserve">  การเดินทางมาเรียน</t>
  </si>
  <si>
    <t xml:space="preserve">  ผลการเรียน</t>
  </si>
  <si>
    <t xml:space="preserve">  ดุลพินิจของอาจารย์ (0-10)
  *สามารถระบุเป็นคะแนนอื่นๆได้</t>
  </si>
  <si>
    <t>ส่วนร่วมกับคณะหรือมหาวิทยาลัย</t>
  </si>
  <si>
    <t xml:space="preserve">  รวมคะแนนทั้งสิ้น</t>
  </si>
  <si>
    <t xml:space="preserve">  การรับทุนต่อเนื่อง 2 ภาคการศึกษา</t>
  </si>
  <si>
    <t xml:space="preserve">  มูลค่าทุนที่สมควรได้รับ
  *สามารถระบุเป็นค่าอื่นๆได้</t>
  </si>
  <si>
    <t>ความเห็นเพิ่มเติม</t>
  </si>
  <si>
    <t>มีผู้อื่นหรือแหล่งทุนอื่นส่งเสียค่าเทอมบางส่วน หรือกู้ยืม หรือกู้ กยศ ไม่ผ่าน</t>
  </si>
  <si>
    <t>มีผู้อื่นหรือแหล่งทุนอื่นส่งเสียค่าใช้จ่ายประจำวัน แต่ไม่เพียงพอ หรือได้รับจากการกู้ยืม</t>
  </si>
  <si>
    <t>ปัจจุบันทำงานหาเลี้ยงตนเอง หรือทำงานที่ไม่ได้มีรายรับ</t>
  </si>
  <si>
    <t>ใช้เป็นค่าเทอม หรือค่าใช้จ่ายประจำวัน</t>
  </si>
  <si>
    <t>≤ 5,000 บาท ต่อเดือน</t>
  </si>
  <si>
    <t>พักอยู่กับครอบครัว ญาติ หรือ ค่าที่พักอยู่ระหว่าง 2001-4000 บาท</t>
  </si>
  <si>
    <t>รถสาธารณะ/รถจักรยาน/เดิน/ติดรถผู้อื่นมา</t>
  </si>
  <si>
    <t>3.00 ขึ้นไป</t>
  </si>
  <si>
    <t>จำเป็นมาก เช่น ประสบอุบัติเหตุร้ายแรง อุบัติภัย ผู้อุปการะเจ็บป่วย ล้มละลาย ฯลฯ</t>
  </si>
  <si>
    <t>-</t>
  </si>
  <si>
    <t>สมควรได้รับทุนต่อเนื่อง 2 ภาคการศึกษา</t>
  </si>
  <si>
    <t>เก็บข้อมูลไว้รับทุนต่อเนื่องของสมาคมได้</t>
  </si>
  <si>
    <t>เลขบัตรประชาชน</t>
  </si>
  <si>
    <t>ไม่ทำงานหาเลี้ยงตนเอง</t>
  </si>
  <si>
    <t>เงินสะสมฉุกเฉิน หรือ ไม่อยากรบกวนครอบครัว</t>
  </si>
  <si>
    <t>รถมอเตอร์ไซค์</t>
  </si>
  <si>
    <t>จำเป็นอื่นๆตามความเห็นอาจารย์</t>
  </si>
  <si>
    <t>สาขาวิชา</t>
  </si>
  <si>
    <t>หอในมหาวิทยาลัย นอนวัด หรือ ค่าเช่าต่ำกว่า 2000 ต่อเดือน</t>
  </si>
  <si>
    <t>ชั้นปี</t>
  </si>
  <si>
    <t>2.50-2.99</t>
  </si>
  <si>
    <t>ไม่จำเป็น</t>
  </si>
  <si>
    <t>ที่พัก</t>
  </si>
  <si>
    <t>ค่าเช่าหอ/บ้าน รวมค่าน้ำ-ไฟ</t>
  </si>
  <si>
    <t>ค่าใช้จ่ายส่วนตัว</t>
  </si>
  <si>
    <t>ค่าอุปกรณ์การศึกษา</t>
  </si>
  <si>
    <t>อุปกรณ์อิเล็กทรอนิกส์ที่มี</t>
  </si>
  <si>
    <t>รายได้เสริม</t>
  </si>
  <si>
    <t>บิดา อายุ</t>
  </si>
  <si>
    <t>บิดา อาชีพ</t>
  </si>
  <si>
    <t>บิดา รายได้</t>
  </si>
  <si>
    <t>บิดา สภาพ</t>
  </si>
  <si>
    <t>มารดา อายุ</t>
  </si>
  <si>
    <t>มารดา อาชีพ</t>
  </si>
  <si>
    <t>มารดา รายได้</t>
  </si>
  <si>
    <t>มารดา สภาพ</t>
  </si>
  <si>
    <t>สภาพบิดา-มารดา</t>
  </si>
  <si>
    <t>คนออกเงินเรียน</t>
  </si>
  <si>
    <t>อุปการะ-ความเกี่ยวข้อง</t>
  </si>
  <si>
    <t>อุปการะ-อาชีพ</t>
  </si>
  <si>
    <t>อุปการะ-รายได้</t>
  </si>
  <si>
    <t>พี่น้อง-ทำงาน</t>
  </si>
  <si>
    <t>พี่น้อง-ไม่ทำงาน</t>
  </si>
  <si>
    <t>พี่น้อง-เรียน</t>
  </si>
  <si>
    <t>กยศ</t>
  </si>
  <si>
    <t>ทุน</t>
  </si>
  <si>
    <t>GPA</t>
  </si>
  <si>
    <t>No.</t>
  </si>
  <si>
    <t>หัวข้อประเมิน</t>
  </si>
  <si>
    <t>เกณฑ์การให้คะแนน</t>
  </si>
  <si>
    <t>คะแนน</t>
  </si>
  <si>
    <t>คะแนนรวม</t>
  </si>
  <si>
    <t>ค่าเทอม</t>
  </si>
  <si>
    <t>ไม่มีผู้อื่นส่งเสียค่าเทอม</t>
  </si>
  <si>
    <t>มีผู้อื่นส่งเสียค่าเทอมทั้งหมด</t>
  </si>
  <si>
    <t>ค่าใช้จ่ายประจำวัน</t>
  </si>
  <si>
    <t>ไม่มีผู้อื่นส่งเสียค่าใช้จ่ายประจำวัน</t>
  </si>
  <si>
    <t>มีผู้อื่นส่งเสียค่าใช้จ่ายประจำวันอย่างเพียงพอ</t>
  </si>
  <si>
    <t>ทำงานพิเศษ</t>
  </si>
  <si>
    <t>เคยทำงานพิเศษ กำลังมองหางานพิเศษ หรือมีเหตุอันควรให้ไม่สามารถทำงานพิเศษได้</t>
  </si>
  <si>
    <t>การนำทุนไปใช้ประโยชน์</t>
  </si>
  <si>
    <t>ค่าเทอม หรือค่าใช้จ่าย เพิ่มจากที่ได้จากผู้อื่นหรือแหล่งทุนอื่น</t>
  </si>
  <si>
    <t>ชำระหนี้สิน เงินกู้ยืมมาจ่ายค่าเทอม ค่ากินอยู่ หรือต้องส่งเสียครอบครัว</t>
  </si>
  <si>
    <t xml:space="preserve">ซื้ออุปกรณ์การเรียนที่ขาดแคลน </t>
  </si>
  <si>
    <t>พัฒนาทักษะเพิ่มเติม ซื้ออุปกรณ์การเรียนเพิ่มเติม ค่าใช้จ่ายเพิ่มเติมจากสหกิจ</t>
  </si>
  <si>
    <t>อื่นๆที่จำเป็น</t>
  </si>
  <si>
    <t>อยู่ระหว่าง 5,000 - 10,000 บาท ต่อเดือน</t>
  </si>
  <si>
    <t>มากกว่า 10,000 บาทต่อเดือน</t>
  </si>
  <si>
    <t>ค่าที่พัก (ค่าเช่า ค่าน้ำ ค่าไฟ)</t>
  </si>
  <si>
    <t>ค่าที่พักมากกว่า 4000 บาท</t>
  </si>
  <si>
    <t>การเดินทางมาเรียน</t>
  </si>
  <si>
    <t>รถยนต์ หรือ รถรับส่งเอกชน (Grab)</t>
  </si>
  <si>
    <t>ผลการเรียน</t>
  </si>
  <si>
    <t>2.00-2.49</t>
  </si>
  <si>
    <t>ต่ำกว่า 2.00</t>
  </si>
  <si>
    <t>ดุลพินิจของอาจารย์ (0-10)</t>
  </si>
  <si>
    <t>เป็นกรรมการบริหารของ สโมสรนักศึกษา ชุมนุม ชมรม หรือองค์การนักศึกษา กิจกรรมในฐานะผู้น่า หัวหน้าโครงการ แกนน่า เป็นหัวหน้าสาขาวิชา หัวหน้าชั้นปี เป็นนักกีฬาของคณะ สาขาวิชา หรือตัวแทนนักกีฬาระดับ
มหาวิทยาลัย ได้รับรางวัลจากการเข้าร่วมกิจกรรมใน การแข่งขัน การประกวดระดับคณะ</t>
  </si>
  <si>
    <t>การรับทุนต่อเนื่อง</t>
  </si>
  <si>
    <t>มูลค่าทุนที่สมควรได้รับ (ระบุ)</t>
  </si>
  <si>
    <t>รายชื่อผู้สมัคร</t>
  </si>
  <si>
    <t>ลำดับ</t>
  </si>
  <si>
    <t>คำนำหน้า</t>
  </si>
  <si>
    <t>ชือ</t>
  </si>
  <si>
    <t>สกุล</t>
  </si>
  <si>
    <t>สาขา</t>
  </si>
  <si>
    <t>683040000-1</t>
  </si>
  <si>
    <t>นาย</t>
  </si>
  <si>
    <t>aaa</t>
  </si>
  <si>
    <t>aaaa</t>
  </si>
  <si>
    <t>วิศวกรรมอุตสาหการ</t>
  </si>
  <si>
    <t>683040000-2</t>
  </si>
  <si>
    <t>bbb</t>
  </si>
  <si>
    <t>vvvv</t>
  </si>
  <si>
    <t>683040000-3</t>
  </si>
  <si>
    <t>ccc</t>
  </si>
  <si>
    <t>cccc</t>
  </si>
  <si>
    <t>วิศวกรรมเคมี</t>
  </si>
  <si>
    <t>683040000-4</t>
  </si>
  <si>
    <t>นางสาว</t>
  </si>
  <si>
    <t>ddd</t>
  </si>
  <si>
    <t>dddd</t>
  </si>
  <si>
    <t>วิศวกรรมไฟฟ้า</t>
  </si>
  <si>
    <t>683040000-5</t>
  </si>
  <si>
    <t>eee</t>
  </si>
  <si>
    <t>eeee</t>
  </si>
  <si>
    <t>คณะ</t>
  </si>
  <si>
    <t>วันที่สมัคร</t>
  </si>
  <si>
    <t>gpa</t>
  </si>
  <si>
    <t>โทรศัพท์</t>
  </si>
  <si>
    <t>อีเมล์</t>
  </si>
  <si>
    <t>CITIZENID</t>
  </si>
  <si>
    <t>คณะวิศวกรรมศาสตร์</t>
  </si>
  <si>
    <t>25/12/2568 15:03</t>
  </si>
  <si>
    <t>aaa@kkumail.com</t>
  </si>
  <si>
    <t>หอพัก มข</t>
  </si>
  <si>
    <t>ไอแพดและโทรศัพท์มือถือ</t>
  </si>
  <si>
    <t>ไม่มีรายได้เสริม</t>
  </si>
  <si>
    <t>พนักงานเอกชน / ลูกจ้าง</t>
  </si>
  <si>
    <t>มีชีวิตอยู่</t>
  </si>
  <si>
    <t>อยู่ด้วยกัน</t>
  </si>
  <si>
    <t>บิดา-มารดา</t>
  </si>
  <si>
    <t>-2568 : 40,000</t>
  </si>
  <si>
    <t>-2568 ทุนการศึกษาประเภท ข ภาคการศึกษาตอนต้น : 10,000</t>
  </si>
  <si>
    <t>https://maps.app.goo.gl/4iM5zfDSZf5jX7WZA</t>
  </si>
  <si>
    <t>บ้านบิดา/มารดา</t>
  </si>
  <si>
    <t>โทรศัพท์ ipad</t>
  </si>
  <si>
    <t>ถึงแก่กรรม</t>
  </si>
  <si>
    <t>บิดาถึงแก่กรรม</t>
  </si>
  <si>
    <t>มารดา</t>
  </si>
  <si>
    <t>-2568 : 28,000</t>
  </si>
  <si>
    <t>-1 ทุนประเภท ข : 10,000</t>
  </si>
  <si>
    <t>15/11/2568 19:34</t>
  </si>
  <si>
    <t>อื่นๆ</t>
  </si>
  <si>
    <t>31/12/2568 16:17</t>
  </si>
  <si>
    <t>โทรศัพท์, iPad</t>
  </si>
  <si>
    <t>มีรายได้เสริม</t>
  </si>
  <si>
    <t>ไม่ได้ประกอบอาชีพ</t>
  </si>
  <si>
    <t>ธุรกิจส่วนตัว / ค้าขาย</t>
  </si>
  <si>
    <t>-2568 ทุนการศึกษาคณะวิศวกรรมศาสตร์ : 5,000</t>
  </si>
  <si>
    <t>31/12/2568 11:58</t>
  </si>
  <si>
    <t>-21,800 :</t>
  </si>
  <si>
    <t>-1 ทุน ข คณะวิศวกรรมศาสตร์ : 10,000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</si>
</sst>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Sarabun"/>
    </font>
    <font>
      <sz val="10.0"/>
      <color theme="1"/>
      <name val="Calibri"/>
    </font>
    <font>
      <sz val="10.0"/>
      <color theme="1"/>
      <name val="Sarabun"/>
    </font>
    <font>
      <sz val="10.0"/>
      <color rgb="FF000000"/>
      <name val="Calibri"/>
    </font>
    <font>
      <sz val="10.0"/>
      <color rgb="FF000000"/>
      <name val="Arial"/>
    </font>
    <font>
      <b/>
      <sz val="10.0"/>
      <color rgb="FF000000"/>
      <name val="Arial"/>
    </font>
    <font>
      <sz val="11.0"/>
      <color rgb="FF000000"/>
      <name val="Calibri"/>
    </font>
    <font>
      <u/>
      <sz val="10.0"/>
      <color rgb="FF000000"/>
      <name val="Calibri"/>
    </font>
    <font>
      <sz val="11.0"/>
      <color rgb="FF0000FF"/>
      <name val="Calibri"/>
    </font>
    <font>
      <u/>
      <sz val="10.0"/>
      <color rgb="FF000000"/>
      <name val="Calibri"/>
    </font>
    <font>
      <u/>
      <sz val="10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EF1CC"/>
        <bgColor rgb="FFFEF1C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textRotation="90" vertical="center"/>
    </xf>
    <xf borderId="1" fillId="3" fontId="1" numFmtId="0" xfId="0" applyAlignment="1" applyBorder="1" applyFill="1" applyFont="1">
      <alignment horizontal="center"/>
    </xf>
    <xf borderId="2" fillId="3" fontId="1" numFmtId="0" xfId="0" applyAlignment="1" applyBorder="1" applyFont="1">
      <alignment horizontal="center" textRotation="90"/>
    </xf>
    <xf borderId="3" fillId="0" fontId="2" numFmtId="0" xfId="0" applyBorder="1" applyFont="1"/>
    <xf borderId="2" fillId="3" fontId="1" numFmtId="0" xfId="0" applyAlignment="1" applyBorder="1" applyFont="1">
      <alignment horizontal="center" shrinkToFit="0" textRotation="90" wrapText="1"/>
    </xf>
    <xf borderId="1" fillId="4" fontId="1" numFmtId="0" xfId="0" applyAlignment="1" applyBorder="1" applyFill="1" applyFont="1">
      <alignment horizontal="center" textRotation="90"/>
    </xf>
    <xf borderId="1" fillId="3" fontId="1" numFmtId="0" xfId="0" applyAlignment="1" applyBorder="1" applyFont="1">
      <alignment horizontal="center" textRotation="90"/>
    </xf>
    <xf borderId="4" fillId="5" fontId="1" numFmtId="0" xfId="0" applyAlignment="1" applyBorder="1" applyFill="1" applyFont="1">
      <alignment vertical="center"/>
    </xf>
    <xf borderId="1" fillId="6" fontId="3" numFmtId="0" xfId="0" applyAlignment="1" applyBorder="1" applyFill="1" applyFont="1">
      <alignment horizontal="right" vertical="center"/>
    </xf>
    <xf borderId="0" fillId="0" fontId="3" numFmtId="0" xfId="0" applyFont="1"/>
    <xf borderId="1" fillId="5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0" fillId="0" fontId="1" numFmtId="0" xfId="0" applyAlignment="1" applyFont="1">
      <alignment horizontal="left" vertical="center"/>
    </xf>
    <xf borderId="5" fillId="7" fontId="1" numFmtId="1" xfId="0" applyAlignment="1" applyBorder="1" applyFill="1" applyFont="1" applyNumberFormat="1">
      <alignment horizontal="right" vertical="center"/>
    </xf>
    <xf borderId="1" fillId="5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right" vertical="center"/>
    </xf>
    <xf borderId="1" fillId="5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right" vertical="center"/>
    </xf>
    <xf borderId="7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6" fillId="0" fontId="2" numFmtId="0" xfId="0" applyBorder="1" applyFont="1"/>
    <xf borderId="9" fillId="8" fontId="4" numFmtId="0" xfId="0" applyAlignment="1" applyBorder="1" applyFill="1" applyFont="1">
      <alignment horizontal="center"/>
    </xf>
    <xf borderId="9" fillId="8" fontId="4" numFmtId="0" xfId="0" applyBorder="1" applyFont="1"/>
    <xf borderId="9" fillId="8" fontId="4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left"/>
    </xf>
    <xf borderId="11" fillId="0" fontId="5" numFmtId="0" xfId="0" applyAlignment="1" applyBorder="1" applyFont="1">
      <alignment horizontal="left"/>
    </xf>
    <xf borderId="11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13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left"/>
    </xf>
    <xf borderId="14" fillId="0" fontId="5" numFmtId="0" xfId="0" applyAlignment="1" applyBorder="1" applyFont="1">
      <alignment horizontal="left"/>
    </xf>
    <xf borderId="14" fillId="0" fontId="5" numFmtId="0" xfId="0" applyAlignment="1" applyBorder="1" applyFont="1">
      <alignment horizontal="center"/>
    </xf>
    <xf borderId="15" fillId="8" fontId="5" numFmtId="0" xfId="0" applyAlignment="1" applyBorder="1" applyFont="1">
      <alignment horizontal="center"/>
    </xf>
    <xf borderId="16" fillId="8" fontId="5" numFmtId="0" xfId="0" applyAlignment="1" applyBorder="1" applyFont="1">
      <alignment horizontal="left"/>
    </xf>
    <xf borderId="9" fillId="8" fontId="5" numFmtId="0" xfId="0" applyAlignment="1" applyBorder="1" applyFont="1">
      <alignment horizontal="left"/>
    </xf>
    <xf borderId="9" fillId="8" fontId="5" numFmtId="0" xfId="0" applyAlignment="1" applyBorder="1" applyFont="1">
      <alignment horizontal="center"/>
    </xf>
    <xf borderId="17" fillId="8" fontId="5" numFmtId="0" xfId="0" applyAlignment="1" applyBorder="1" applyFont="1">
      <alignment horizontal="center" vertical="center"/>
    </xf>
    <xf borderId="0" fillId="0" fontId="5" numFmtId="0" xfId="0" applyFont="1"/>
    <xf borderId="18" fillId="9" fontId="5" numFmtId="0" xfId="0" applyAlignment="1" applyBorder="1" applyFill="1" applyFont="1">
      <alignment horizontal="center"/>
    </xf>
    <xf borderId="19" fillId="9" fontId="5" numFmtId="0" xfId="0" applyAlignment="1" applyBorder="1" applyFont="1">
      <alignment horizontal="left"/>
    </xf>
    <xf borderId="20" fillId="9" fontId="5" numFmtId="0" xfId="0" applyAlignment="1" applyBorder="1" applyFont="1">
      <alignment horizontal="center"/>
    </xf>
    <xf borderId="7" fillId="9" fontId="5" numFmtId="0" xfId="0" applyAlignment="1" applyBorder="1" applyFont="1">
      <alignment horizontal="center" vertical="center"/>
    </xf>
    <xf borderId="15" fillId="9" fontId="5" numFmtId="0" xfId="0" applyAlignment="1" applyBorder="1" applyFont="1">
      <alignment horizontal="center"/>
    </xf>
    <xf borderId="16" fillId="9" fontId="5" numFmtId="0" xfId="0" applyAlignment="1" applyBorder="1" applyFont="1">
      <alignment horizontal="left"/>
    </xf>
    <xf borderId="9" fillId="9" fontId="5" numFmtId="0" xfId="0" applyAlignment="1" applyBorder="1" applyFont="1">
      <alignment horizontal="center"/>
    </xf>
    <xf borderId="21" fillId="9" fontId="5" numFmtId="0" xfId="0" applyAlignment="1" applyBorder="1" applyFont="1">
      <alignment horizontal="center"/>
    </xf>
    <xf borderId="5" fillId="9" fontId="5" numFmtId="0" xfId="0" applyAlignment="1" applyBorder="1" applyFont="1">
      <alignment horizontal="left"/>
    </xf>
    <xf borderId="22" fillId="9" fontId="5" numFmtId="0" xfId="0" applyAlignment="1" applyBorder="1" applyFont="1">
      <alignment horizontal="left"/>
    </xf>
    <xf borderId="22" fillId="9" fontId="5" numFmtId="0" xfId="0" applyAlignment="1" applyBorder="1" applyFont="1">
      <alignment horizontal="center"/>
    </xf>
    <xf borderId="18" fillId="8" fontId="5" numFmtId="0" xfId="0" applyAlignment="1" applyBorder="1" applyFont="1">
      <alignment horizontal="center"/>
    </xf>
    <xf borderId="19" fillId="8" fontId="5" numFmtId="0" xfId="0" applyAlignment="1" applyBorder="1" applyFont="1">
      <alignment horizontal="left"/>
    </xf>
    <xf borderId="20" fillId="8" fontId="5" numFmtId="0" xfId="0" applyAlignment="1" applyBorder="1" applyFont="1">
      <alignment horizontal="left"/>
    </xf>
    <xf borderId="20" fillId="8" fontId="5" numFmtId="0" xfId="0" applyAlignment="1" applyBorder="1" applyFont="1">
      <alignment horizontal="center"/>
    </xf>
    <xf borderId="7" fillId="8" fontId="5" numFmtId="0" xfId="0" applyAlignment="1" applyBorder="1" applyFont="1">
      <alignment horizontal="center" vertical="center"/>
    </xf>
    <xf borderId="21" fillId="8" fontId="5" numFmtId="0" xfId="0" applyAlignment="1" applyBorder="1" applyFont="1">
      <alignment horizontal="center"/>
    </xf>
    <xf borderId="5" fillId="8" fontId="5" numFmtId="0" xfId="0" applyAlignment="1" applyBorder="1" applyFont="1">
      <alignment horizontal="left"/>
    </xf>
    <xf borderId="22" fillId="8" fontId="5" numFmtId="0" xfId="0" applyAlignment="1" applyBorder="1" applyFont="1">
      <alignment horizontal="left"/>
    </xf>
    <xf borderId="22" fillId="8" fontId="5" numFmtId="0" xfId="0" applyAlignment="1" applyBorder="1" applyFont="1">
      <alignment horizontal="center"/>
    </xf>
    <xf borderId="9" fillId="9" fontId="5" numFmtId="0" xfId="0" applyAlignment="1" applyBorder="1" applyFont="1">
      <alignment horizontal="left"/>
    </xf>
    <xf borderId="17" fillId="9" fontId="5" numFmtId="0" xfId="0" applyAlignment="1" applyBorder="1" applyFont="1">
      <alignment horizontal="center" vertical="center"/>
    </xf>
    <xf borderId="20" fillId="8" fontId="5" numFmtId="2" xfId="0" applyAlignment="1" applyBorder="1" applyFont="1" applyNumberFormat="1">
      <alignment horizontal="center"/>
    </xf>
    <xf borderId="9" fillId="8" fontId="5" numFmtId="2" xfId="0" applyAlignment="1" applyBorder="1" applyFont="1" applyNumberFormat="1">
      <alignment horizontal="center"/>
    </xf>
    <xf borderId="20" fillId="9" fontId="5" numFmtId="0" xfId="0" applyAlignment="1" applyBorder="1" applyFont="1">
      <alignment horizontal="left"/>
    </xf>
    <xf borderId="7" fillId="0" fontId="5" numFmtId="0" xfId="0" applyBorder="1" applyFont="1"/>
    <xf borderId="7" fillId="0" fontId="5" numFmtId="0" xfId="0" applyAlignment="1" applyBorder="1" applyFont="1">
      <alignment horizontal="center"/>
    </xf>
    <xf borderId="8" fillId="0" fontId="5" numFmtId="0" xfId="0" applyBorder="1" applyFont="1"/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6" fillId="0" fontId="5" numFmtId="0" xfId="0" applyBorder="1" applyFont="1"/>
    <xf borderId="6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14" fillId="0" fontId="7" numFmtId="0" xfId="0" applyAlignment="1" applyBorder="1" applyFont="1">
      <alignment horizontal="center"/>
    </xf>
    <xf borderId="14" fillId="0" fontId="7" numFmtId="0" xfId="0" applyBorder="1" applyFont="1"/>
    <xf borderId="5" fillId="10" fontId="6" numFmtId="0" xfId="0" applyAlignment="1" applyBorder="1" applyFill="1" applyFont="1">
      <alignment horizontal="center" shrinkToFit="0" wrapText="1"/>
    </xf>
    <xf borderId="23" fillId="10" fontId="6" numFmtId="0" xfId="0" applyAlignment="1" applyBorder="1" applyFont="1">
      <alignment horizontal="center" shrinkToFit="0" wrapText="1"/>
    </xf>
    <xf borderId="16" fillId="10" fontId="6" numFmtId="0" xfId="0" applyAlignment="1" applyBorder="1" applyFont="1">
      <alignment horizontal="center" shrinkToFit="0" wrapText="1"/>
    </xf>
    <xf borderId="24" fillId="10" fontId="6" numFmtId="0" xfId="0" applyAlignment="1" applyBorder="1" applyFont="1">
      <alignment horizontal="center" shrinkToFit="0" wrapText="1"/>
    </xf>
    <xf borderId="24" fillId="10" fontId="6" numFmtId="0" xfId="0" applyAlignment="1" applyBorder="1" applyFont="1">
      <alignment shrinkToFit="0" wrapText="1"/>
    </xf>
    <xf borderId="13" fillId="0" fontId="8" numFmtId="0" xfId="0" applyAlignment="1" applyBorder="1" applyFont="1">
      <alignment horizontal="center" shrinkToFit="0" wrapText="1"/>
    </xf>
    <xf borderId="7" fillId="0" fontId="9" numFmtId="0" xfId="0" applyAlignment="1" applyBorder="1" applyFont="1">
      <alignment horizontal="left" readingOrder="0"/>
    </xf>
    <xf borderId="25" fillId="0" fontId="9" numFmtId="0" xfId="0" applyAlignment="1" applyBorder="1" applyFont="1">
      <alignment horizontal="left" readingOrder="0"/>
    </xf>
    <xf borderId="25" fillId="0" fontId="9" numFmtId="0" xfId="0" applyAlignment="1" applyBorder="1" applyFont="1">
      <alignment horizontal="left"/>
    </xf>
    <xf borderId="25" fillId="0" fontId="9" numFmtId="0" xfId="0" applyAlignment="1" applyBorder="1" applyFont="1">
      <alignment horizontal="center"/>
    </xf>
    <xf borderId="26" fillId="0" fontId="9" numFmtId="0" xfId="0" applyAlignment="1" applyBorder="1" applyFont="1">
      <alignment horizontal="left" readingOrder="0"/>
    </xf>
    <xf borderId="26" fillId="0" fontId="9" numFmtId="0" xfId="0" applyAlignment="1" applyBorder="1" applyFont="1">
      <alignment horizontal="left"/>
    </xf>
    <xf borderId="26" fillId="0" fontId="9" numFmtId="0" xfId="0" applyAlignment="1" applyBorder="1" applyFont="1">
      <alignment horizontal="center"/>
    </xf>
    <xf borderId="27" fillId="0" fontId="9" numFmtId="0" xfId="0" applyAlignment="1" applyBorder="1" applyFont="1">
      <alignment horizontal="left" readingOrder="0"/>
    </xf>
    <xf borderId="27" fillId="0" fontId="9" numFmtId="0" xfId="0" applyAlignment="1" applyBorder="1" applyFont="1">
      <alignment horizontal="left"/>
    </xf>
    <xf borderId="27" fillId="0" fontId="9" numFmtId="0" xfId="0" applyAlignment="1" applyBorder="1" applyFont="1">
      <alignment horizontal="center"/>
    </xf>
    <xf borderId="1" fillId="0" fontId="10" numFmtId="0" xfId="0" applyBorder="1" applyFont="1"/>
    <xf borderId="1" fillId="0" fontId="8" numFmtId="0" xfId="0" applyAlignment="1" applyBorder="1" applyFont="1">
      <alignment horizontal="center" shrinkToFit="0" wrapText="1"/>
    </xf>
    <xf borderId="27" fillId="0" fontId="8" numFmtId="0" xfId="0" applyAlignment="1" applyBorder="1" applyFont="1">
      <alignment shrinkToFit="0" wrapText="1"/>
    </xf>
    <xf borderId="27" fillId="0" fontId="8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shrinkToFit="0" wrapText="1"/>
    </xf>
    <xf borderId="7" fillId="0" fontId="10" numFmtId="0" xfId="0" applyBorder="1" applyFont="1"/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shrinkToFit="0" wrapText="1"/>
    </xf>
    <xf borderId="0" fillId="0" fontId="10" numFmtId="0" xfId="0" applyFont="1"/>
    <xf borderId="0" fillId="0" fontId="10" numFmtId="1" xfId="0" applyFont="1" applyNumberFormat="1"/>
    <xf borderId="1" fillId="10" fontId="11" numFmtId="0" xfId="0" applyAlignment="1" applyBorder="1" applyFont="1">
      <alignment horizontal="center"/>
    </xf>
    <xf borderId="1" fillId="10" fontId="11" numFmtId="1" xfId="0" applyAlignment="1" applyBorder="1" applyFont="1" applyNumberFormat="1">
      <alignment horizontal="center"/>
    </xf>
    <xf borderId="4" fillId="10" fontId="11" numFmtId="0" xfId="0" applyAlignment="1" applyBorder="1" applyFont="1">
      <alignment horizontal="center"/>
    </xf>
    <xf borderId="0" fillId="0" fontId="5" numFmtId="1" xfId="0" applyFont="1" applyNumberFormat="1"/>
    <xf borderId="1" fillId="0" fontId="10" numFmtId="0" xfId="0" applyAlignment="1" applyBorder="1" applyFont="1">
      <alignment horizontal="center"/>
    </xf>
    <xf borderId="25" fillId="0" fontId="9" numFmtId="0" xfId="0" applyAlignment="1" applyBorder="1" applyFont="1">
      <alignment horizontal="right"/>
    </xf>
    <xf borderId="25" fillId="0" fontId="9" numFmtId="0" xfId="0" applyAlignment="1" applyBorder="1" applyFont="1">
      <alignment horizontal="right" readingOrder="0"/>
    </xf>
    <xf borderId="25" fillId="0" fontId="9" numFmtId="3" xfId="0" applyAlignment="1" applyBorder="1" applyFont="1" applyNumberFormat="1">
      <alignment horizontal="right"/>
    </xf>
    <xf borderId="25" fillId="0" fontId="12" numFmtId="0" xfId="0" applyAlignment="1" applyBorder="1" applyFont="1">
      <alignment horizontal="right"/>
    </xf>
    <xf borderId="25" fillId="0" fontId="12" numFmtId="0" xfId="0" applyBorder="1" applyFont="1"/>
    <xf borderId="25" fillId="0" fontId="12" numFmtId="3" xfId="0" applyAlignment="1" applyBorder="1" applyFont="1" applyNumberFormat="1">
      <alignment horizontal="right"/>
    </xf>
    <xf borderId="25" fillId="0" fontId="9" numFmtId="0" xfId="0" applyAlignment="1" applyBorder="1" applyFont="1">
      <alignment horizontal="left" vertical="top"/>
    </xf>
    <xf borderId="25" fillId="0" fontId="13" numFmtId="0" xfId="0" applyAlignment="1" applyBorder="1" applyFont="1">
      <alignment horizontal="left" readingOrder="0"/>
    </xf>
    <xf borderId="0" fillId="0" fontId="14" numFmtId="1" xfId="0" applyAlignment="1" applyFont="1" applyNumberFormat="1">
      <alignment horizontal="left" readingOrder="0"/>
    </xf>
    <xf borderId="26" fillId="0" fontId="9" numFmtId="0" xfId="0" applyAlignment="1" applyBorder="1" applyFont="1">
      <alignment horizontal="right"/>
    </xf>
    <xf borderId="26" fillId="0" fontId="9" numFmtId="22" xfId="0" applyAlignment="1" applyBorder="1" applyFont="1" applyNumberFormat="1">
      <alignment horizontal="right"/>
    </xf>
    <xf borderId="26" fillId="0" fontId="9" numFmtId="3" xfId="0" applyAlignment="1" applyBorder="1" applyFont="1" applyNumberFormat="1">
      <alignment horizontal="right"/>
    </xf>
    <xf borderId="26" fillId="0" fontId="12" numFmtId="0" xfId="0" applyBorder="1" applyFont="1"/>
    <xf borderId="26" fillId="0" fontId="9" numFmtId="0" xfId="0" applyAlignment="1" applyBorder="1" applyFont="1">
      <alignment horizontal="left" vertical="top"/>
    </xf>
    <xf borderId="26" fillId="0" fontId="15" numFmtId="0" xfId="0" applyAlignment="1" applyBorder="1" applyFont="1">
      <alignment horizontal="left" readingOrder="0"/>
    </xf>
    <xf borderId="26" fillId="0" fontId="12" numFmtId="0" xfId="0" applyAlignment="1" applyBorder="1" applyFont="1">
      <alignment horizontal="right"/>
    </xf>
    <xf borderId="26" fillId="0" fontId="12" numFmtId="0" xfId="0" applyAlignment="1" applyBorder="1" applyFont="1">
      <alignment horizontal="left" vertical="top"/>
    </xf>
    <xf borderId="26" fillId="0" fontId="12" numFmtId="3" xfId="0" applyAlignment="1" applyBorder="1" applyFont="1" applyNumberFormat="1">
      <alignment horizontal="right"/>
    </xf>
    <xf borderId="27" fillId="0" fontId="9" numFmtId="0" xfId="0" applyAlignment="1" applyBorder="1" applyFont="1">
      <alignment horizontal="right"/>
    </xf>
    <xf borderId="27" fillId="0" fontId="9" numFmtId="3" xfId="0" applyAlignment="1" applyBorder="1" applyFont="1" applyNumberFormat="1">
      <alignment horizontal="right"/>
    </xf>
    <xf borderId="27" fillId="0" fontId="12" numFmtId="0" xfId="0" applyAlignment="1" applyBorder="1" applyFont="1">
      <alignment horizontal="right"/>
    </xf>
    <xf borderId="27" fillId="0" fontId="12" numFmtId="0" xfId="0" applyBorder="1" applyFont="1"/>
    <xf borderId="27" fillId="0" fontId="9" numFmtId="0" xfId="0" applyAlignment="1" applyBorder="1" applyFont="1">
      <alignment horizontal="left" vertical="top"/>
    </xf>
    <xf borderId="27" fillId="0" fontId="16" numFmtId="0" xfId="0" applyAlignment="1" applyBorder="1" applyFont="1">
      <alignment horizontal="left"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2" pivot="0" name="Assessment-style">
      <tableStyleElement dxfId="1" type="firstRowStripe"/>
      <tableStyleElement dxfId="2" type="secondRowStripe"/>
    </tableStyle>
    <tableStyle count="2" pivot="0" name="Assessment-style 2">
      <tableStyleElement dxfId="1" type="firstRowStripe"/>
      <tableStyleElement dxfId="2" type="secondRowStripe"/>
    </tableStyle>
    <tableStyle count="2" pivot="0" name="Assessmen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3:AD3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Assessment-style" showColumnStripes="0" showFirstColumn="1" showLastColumn="1" showRowStripes="1"/>
</table>
</file>

<file path=xl/tables/table2.xml><?xml version="1.0" encoding="utf-8"?>
<table xmlns="http://schemas.openxmlformats.org/spreadsheetml/2006/main" headerRowCount="0" ref="D4:AD4" displayName="Table_2" name="Table_2" id="2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Assessment-style 2" showColumnStripes="0" showFirstColumn="1" showLastColumn="1" showRowStripes="1"/>
</table>
</file>

<file path=xl/tables/table3.xml><?xml version="1.0" encoding="utf-8"?>
<table xmlns="http://schemas.openxmlformats.org/spreadsheetml/2006/main" headerRowCount="0" ref="D5:AD5" displayName="Table_3" name="Table_3" id="3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Assessmen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iM5zfDSZf5jX7WZA" TargetMode="External"/><Relationship Id="rId2" Type="http://schemas.openxmlformats.org/officeDocument/2006/relationships/hyperlink" Target="https://maps.app.goo.gl/4iM5zfDSZf5jX7WZA" TargetMode="External"/><Relationship Id="rId3" Type="http://schemas.openxmlformats.org/officeDocument/2006/relationships/hyperlink" Target="https://maps.app.goo.gl/4iM5zfDSZf5jX7WZA" TargetMode="External"/><Relationship Id="rId4" Type="http://schemas.openxmlformats.org/officeDocument/2006/relationships/hyperlink" Target="https://maps.app.goo.gl/4iM5zfDSZf5jX7WZA" TargetMode="External"/><Relationship Id="rId5" Type="http://schemas.openxmlformats.org/officeDocument/2006/relationships/hyperlink" Target="https://maps.app.goo.gl/4iM5zfDSZf5jX7WZA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32.63"/>
    <col customWidth="1" min="3" max="3" width="1.63"/>
    <col customWidth="1" min="4" max="4" width="4.13"/>
    <col customWidth="1" min="5" max="5" width="11.5"/>
    <col customWidth="1" min="6" max="6" width="16.13"/>
    <col customWidth="1" min="7" max="24" width="3.63"/>
    <col customWidth="1" min="25" max="27" width="4.13"/>
    <col customWidth="1" min="28" max="28" width="9.13"/>
    <col customWidth="1" min="29" max="29" width="6.5"/>
    <col customWidth="1" min="30" max="30" width="17.5"/>
  </cols>
  <sheetData>
    <row r="1" ht="226.5" customHeight="1">
      <c r="A1" s="1" t="s">
        <v>0</v>
      </c>
      <c r="C1" s="2"/>
      <c r="D1" s="3" t="s">
        <v>1</v>
      </c>
      <c r="E1" s="4" t="s">
        <v>2</v>
      </c>
      <c r="F1" s="4" t="s">
        <v>3</v>
      </c>
      <c r="G1" s="5" t="s">
        <v>4</v>
      </c>
      <c r="H1" s="6"/>
      <c r="I1" s="5" t="s">
        <v>5</v>
      </c>
      <c r="J1" s="6"/>
      <c r="K1" s="5" t="s">
        <v>6</v>
      </c>
      <c r="L1" s="6"/>
      <c r="M1" s="5" t="s">
        <v>7</v>
      </c>
      <c r="N1" s="6"/>
      <c r="O1" s="5" t="s">
        <v>5</v>
      </c>
      <c r="P1" s="6"/>
      <c r="Q1" s="5" t="s">
        <v>8</v>
      </c>
      <c r="R1" s="6"/>
      <c r="S1" s="5" t="s">
        <v>9</v>
      </c>
      <c r="T1" s="6"/>
      <c r="U1" s="5" t="s">
        <v>10</v>
      </c>
      <c r="V1" s="6"/>
      <c r="W1" s="7" t="s">
        <v>11</v>
      </c>
      <c r="X1" s="6"/>
      <c r="Y1" s="7" t="s">
        <v>12</v>
      </c>
      <c r="Z1" s="6"/>
      <c r="AA1" s="8" t="s">
        <v>13</v>
      </c>
      <c r="AB1" s="9" t="s">
        <v>14</v>
      </c>
      <c r="AC1" s="9" t="s">
        <v>15</v>
      </c>
      <c r="AD1" s="4" t="s">
        <v>16</v>
      </c>
    </row>
    <row r="2" ht="28.5" customHeight="1">
      <c r="A2" s="10" t="str">
        <f t="array" ref="A2">IF(INDEX(D:D,MATCH(99999,D:D))="","",VLOOKUP(INDEX(D:D,MATCH(99999,D:D)),Sheet3!$A$2:$H$99874,2,FALSE))</f>
        <v>683040000-4</v>
      </c>
      <c r="B2" s="11" t="str">
        <f t="array" ref="B2">IF(INDEX(D:D,MATCH(99999,D:D))="","",(VLOOKUP(INDEX(D:D,MATCH(99999,D:D)),Sheet3!$A$2:$H$9874,4,FALSE) &amp; " " &amp; VLOOKUP(INDEX(D:D,MATCH(99999,D:D)),Sheet3!$A$2:$H$99874,5,FALSE) &amp; " " &amp; VLOOKUP(INDEX(D:D,MATCH(99999,D:D)),Sheet3!$A$2:$H$9874,6,FALSE)))</f>
        <v>นางสาว ddd dddd</v>
      </c>
      <c r="C2" s="12"/>
      <c r="D2" s="13">
        <v>1.0</v>
      </c>
      <c r="E2" s="14" t="str">
        <f>IF($D2="","",VLOOKUP($D2,Sheet3!$A$4:$H$224,2,FALSE))</f>
        <v>683040000-1</v>
      </c>
      <c r="F2" s="15" t="str">
        <f>IF($D2="","",(VLOOKUP($D2,Sheet3!$A$4:$H$99,4,FALSE) &amp; " " &amp; VLOOKUP($D2,Sheet3!$A$4:$H$99,5,FALSE) &amp; " " &amp; VLOOKUP($D2,Sheet3!$A$4:$H$99,6,FALSE)))</f>
        <v>นาย aaa aaaa</v>
      </c>
      <c r="G2" s="15" t="s">
        <v>17</v>
      </c>
      <c r="H2" s="14">
        <f>IF(G2="","",VLOOKUP(G2,Criteria!$D$2:$E$5,2,FALSE))</f>
        <v>5</v>
      </c>
      <c r="I2" s="15" t="s">
        <v>18</v>
      </c>
      <c r="J2" s="14">
        <f>IF(I2="","",VLOOKUP(I2,Criteria!$D$6:$E$9,2,FALSE))</f>
        <v>5</v>
      </c>
      <c r="K2" s="15" t="s">
        <v>19</v>
      </c>
      <c r="L2" s="14">
        <f>IF(K2="","",VLOOKUP(K2,Criteria!$D$10:$E$13,2,FALSE))</f>
        <v>10</v>
      </c>
      <c r="M2" s="15" t="s">
        <v>20</v>
      </c>
      <c r="N2" s="14">
        <f>IF(M2="","",VLOOKUP(M2,Criteria!$D$14:$E$21,2,FALSE))</f>
        <v>20</v>
      </c>
      <c r="O2" s="15" t="s">
        <v>21</v>
      </c>
      <c r="P2" s="14">
        <f>IF(O2="","",VLOOKUP(O2,Criteria!$D$22:$E$25,2,FALSE))</f>
        <v>10</v>
      </c>
      <c r="Q2" s="15" t="s">
        <v>22</v>
      </c>
      <c r="R2" s="14">
        <f>IF(Q2="","",VLOOKUP(Q2,Criteria!$D$26:$E$29,2,FALSE))</f>
        <v>5</v>
      </c>
      <c r="S2" s="15" t="s">
        <v>23</v>
      </c>
      <c r="T2" s="14">
        <f>IF(S2="","",VLOOKUP(S2,Criteria!$D$30:$E$33,2,FALSE))</f>
        <v>5</v>
      </c>
      <c r="U2" s="15" t="s">
        <v>24</v>
      </c>
      <c r="V2" s="14">
        <f>IF(U2="","",VLOOKUP(U2,Criteria!$D$34:$E$38,2,FALSE))</f>
        <v>5</v>
      </c>
      <c r="W2" s="15" t="s">
        <v>25</v>
      </c>
      <c r="X2" s="14">
        <f>IF(W2="","",VLOOKUP(W2,Criteria!$D$39:$E$42,2,FALSE))</f>
        <v>10</v>
      </c>
      <c r="Y2" s="15" t="s">
        <v>26</v>
      </c>
      <c r="Z2" s="14">
        <v>0.0</v>
      </c>
      <c r="AA2" s="15">
        <f t="shared" ref="AA2:AA27" si="1">SUM(H2,J2,L2,N2,P2,R2,T2,V2,X2,Z2)</f>
        <v>75</v>
      </c>
      <c r="AB2" s="15" t="s">
        <v>27</v>
      </c>
      <c r="AC2" s="15">
        <v>20000.0</v>
      </c>
      <c r="AD2" s="15" t="s">
        <v>28</v>
      </c>
    </row>
    <row r="3" ht="28.5" customHeight="1">
      <c r="A3" s="16" t="s">
        <v>29</v>
      </c>
      <c r="B3" s="17">
        <f>VLOOKUP($A$2,Data!$B$2:$AL$99874,37,FALSE)</f>
        <v>1410100000004</v>
      </c>
      <c r="C3" s="12"/>
      <c r="D3" s="18">
        <v>2.0</v>
      </c>
      <c r="E3" s="19"/>
      <c r="F3" s="20" t="str">
        <f>IF($D3="","",(VLOOKUP($D3,Sheet3!$A$4:$H$99,4,FALSE) &amp; " " &amp; VLOOKUP($D3,Sheet3!$A$4:$H$99,5,FALSE) &amp; " " &amp; VLOOKUP($D3,Sheet3!$A$4:$H$99,6,FALSE)))</f>
        <v>นาย bbb vvvv</v>
      </c>
      <c r="G3" s="20" t="s">
        <v>17</v>
      </c>
      <c r="H3" s="19">
        <f>IF(G3="","",VLOOKUP(G3,Criteria!$D$2:$E$5,2,FALSE))</f>
        <v>5</v>
      </c>
      <c r="I3" s="20" t="s">
        <v>18</v>
      </c>
      <c r="J3" s="19">
        <f>IF(I3="","",VLOOKUP(I3,Criteria!$D$6:$E$9,2,FALSE))</f>
        <v>5</v>
      </c>
      <c r="K3" s="20" t="s">
        <v>30</v>
      </c>
      <c r="L3" s="19">
        <f>IF(K3="","",VLOOKUP(K3,Criteria!$D$10:$E$13,2,FALSE))</f>
        <v>0</v>
      </c>
      <c r="M3" s="20" t="s">
        <v>31</v>
      </c>
      <c r="N3" s="19">
        <f>IF(M3="","",VLOOKUP(M3,Criteria!$D$14:$E$21,2,FALSE))</f>
        <v>5</v>
      </c>
      <c r="O3" s="20" t="s">
        <v>21</v>
      </c>
      <c r="P3" s="19">
        <f>IF(O3="","",VLOOKUP(O3,Criteria!$D$22:$E$25,2,FALSE))</f>
        <v>10</v>
      </c>
      <c r="Q3" s="20" t="s">
        <v>22</v>
      </c>
      <c r="R3" s="19">
        <f>IF(Q3="","",VLOOKUP(Q3,Criteria!$D$26:$E$29,2,FALSE))</f>
        <v>5</v>
      </c>
      <c r="S3" s="20" t="s">
        <v>32</v>
      </c>
      <c r="T3" s="19">
        <f>IF(S3="","",VLOOKUP(S3,Criteria!$D$30:$E$33,2,FALSE))</f>
        <v>2</v>
      </c>
      <c r="U3" s="20" t="s">
        <v>24</v>
      </c>
      <c r="V3" s="19">
        <f>IF(U3="","",VLOOKUP(U3,Criteria!$D$34:$E$38,2,FALSE))</f>
        <v>5</v>
      </c>
      <c r="W3" s="20" t="s">
        <v>33</v>
      </c>
      <c r="X3" s="19">
        <f>IF(W3="","",VLOOKUP(W3,Criteria!$D$39:$E$42,2,FALSE))</f>
        <v>5</v>
      </c>
      <c r="Y3" s="20" t="s">
        <v>26</v>
      </c>
      <c r="Z3" s="19">
        <v>0.0</v>
      </c>
      <c r="AA3" s="20">
        <f t="shared" si="1"/>
        <v>42</v>
      </c>
      <c r="AB3" s="20" t="s">
        <v>26</v>
      </c>
      <c r="AC3" s="20">
        <v>5000.0</v>
      </c>
      <c r="AD3" s="20"/>
    </row>
    <row r="4" ht="28.5" customHeight="1">
      <c r="A4" s="21" t="s">
        <v>34</v>
      </c>
      <c r="B4" s="22" t="str">
        <f>VLOOKUP($A$2,Data!$B$2:$AK$99874,6,FALSE)</f>
        <v>วิศวกรรมไฟฟ้า</v>
      </c>
      <c r="C4" s="12"/>
      <c r="D4" s="18">
        <v>3.0</v>
      </c>
      <c r="E4" s="19"/>
      <c r="F4" s="20" t="str">
        <f>IF($D4="","",(VLOOKUP($D4,Sheet3!$A$4:$H$99,4,FALSE) &amp; " " &amp; VLOOKUP($D4,Sheet3!$A$4:$H$99,5,FALSE) &amp; " " &amp; VLOOKUP($D4,Sheet3!$A$4:$H$99,6,FALSE)))</f>
        <v>นาย ccc cccc</v>
      </c>
      <c r="G4" s="20" t="s">
        <v>17</v>
      </c>
      <c r="H4" s="19">
        <f>IF(G4="","",VLOOKUP(G4,Criteria!$D$2:$E$5,2,FALSE))</f>
        <v>5</v>
      </c>
      <c r="I4" s="20" t="s">
        <v>18</v>
      </c>
      <c r="J4" s="19">
        <f>IF(I4="","",VLOOKUP(I4,Criteria!$D$6:$E$9,2,FALSE))</f>
        <v>5</v>
      </c>
      <c r="K4" s="20" t="s">
        <v>30</v>
      </c>
      <c r="L4" s="19">
        <f>IF(K4="","",VLOOKUP(K4,Criteria!$D$10:$E$13,2,FALSE))</f>
        <v>0</v>
      </c>
      <c r="M4" s="20" t="s">
        <v>31</v>
      </c>
      <c r="N4" s="19">
        <f>IF(M4="","",VLOOKUP(M4,Criteria!$D$14:$E$21,2,FALSE))</f>
        <v>5</v>
      </c>
      <c r="O4" s="20" t="s">
        <v>21</v>
      </c>
      <c r="P4" s="19">
        <f>IF(O4="","",VLOOKUP(O4,Criteria!$D$22:$E$25,2,FALSE))</f>
        <v>10</v>
      </c>
      <c r="Q4" s="20" t="s">
        <v>35</v>
      </c>
      <c r="R4" s="19">
        <f>IF(Q4="","",VLOOKUP(Q4,Criteria!$D$26:$E$29,2,FALSE))</f>
        <v>10</v>
      </c>
      <c r="S4" s="20" t="s">
        <v>23</v>
      </c>
      <c r="T4" s="19">
        <f>IF(S4="","",VLOOKUP(S4,Criteria!$D$30:$E$33,2,FALSE))</f>
        <v>5</v>
      </c>
      <c r="U4" s="20" t="s">
        <v>24</v>
      </c>
      <c r="V4" s="19">
        <f>IF(U4="","",VLOOKUP(U4,Criteria!$D$34:$E$38,2,FALSE))</f>
        <v>5</v>
      </c>
      <c r="W4" s="20" t="s">
        <v>33</v>
      </c>
      <c r="X4" s="19">
        <f>IF(W4="","",VLOOKUP(W4,Criteria!$D$39:$E$42,2,FALSE))</f>
        <v>5</v>
      </c>
      <c r="Y4" s="20" t="s">
        <v>26</v>
      </c>
      <c r="Z4" s="19">
        <v>5.0</v>
      </c>
      <c r="AA4" s="20">
        <f t="shared" si="1"/>
        <v>55</v>
      </c>
      <c r="AB4" s="20" t="s">
        <v>26</v>
      </c>
      <c r="AC4" s="20">
        <v>20000.0</v>
      </c>
      <c r="AD4" s="20"/>
    </row>
    <row r="5" ht="28.5" customHeight="1">
      <c r="A5" s="21" t="s">
        <v>36</v>
      </c>
      <c r="B5" s="22">
        <f>VLOOKUP($A$2,Data!$B$2:$AK$99874,7,FALSE)</f>
        <v>1</v>
      </c>
      <c r="C5" s="12"/>
      <c r="D5" s="18">
        <v>4.0</v>
      </c>
      <c r="E5" s="19"/>
      <c r="F5" s="20" t="str">
        <f>IF($D5="","",(VLOOKUP($D5,Sheet3!$A$4:$H$99,4,FALSE) &amp; " " &amp; VLOOKUP($D5,Sheet3!$A$4:$H$99,5,FALSE) &amp; " " &amp; VLOOKUP($D5,Sheet3!$A$4:$H$99,6,FALSE)))</f>
        <v>นางสาว ddd dddd</v>
      </c>
      <c r="G5" s="20" t="s">
        <v>17</v>
      </c>
      <c r="H5" s="19">
        <f>IF(G5="","",VLOOKUP(G5,Criteria!$D$2:$E$5,2,FALSE))</f>
        <v>5</v>
      </c>
      <c r="I5" s="20" t="s">
        <v>18</v>
      </c>
      <c r="J5" s="19">
        <f>IF(I5="","",VLOOKUP(I5,Criteria!$D$6:$E$9,2,FALSE))</f>
        <v>5</v>
      </c>
      <c r="K5" s="20" t="s">
        <v>30</v>
      </c>
      <c r="L5" s="19">
        <f>IF(K5="","",VLOOKUP(K5,Criteria!$D$10:$E$13,2,FALSE))</f>
        <v>0</v>
      </c>
      <c r="M5" s="20" t="s">
        <v>31</v>
      </c>
      <c r="N5" s="19">
        <f>IF(M5="","",VLOOKUP(M5,Criteria!$D$14:$E$21,2,FALSE))</f>
        <v>5</v>
      </c>
      <c r="O5" s="20" t="s">
        <v>21</v>
      </c>
      <c r="P5" s="19">
        <f>IF(O5="","",VLOOKUP(O5,Criteria!$D$22:$E$25,2,FALSE))</f>
        <v>10</v>
      </c>
      <c r="Q5" s="20" t="s">
        <v>35</v>
      </c>
      <c r="R5" s="19">
        <f>IF(Q5="","",VLOOKUP(Q5,Criteria!$D$26:$E$29,2,FALSE))</f>
        <v>10</v>
      </c>
      <c r="S5" s="20" t="s">
        <v>23</v>
      </c>
      <c r="T5" s="19">
        <f>IF(S5="","",VLOOKUP(S5,Criteria!$D$30:$E$33,2,FALSE))</f>
        <v>5</v>
      </c>
      <c r="U5" s="20" t="s">
        <v>37</v>
      </c>
      <c r="V5" s="19">
        <f>IF(U5="","",VLOOKUP(U5,Criteria!$D$34:$E$38,2,FALSE))</f>
        <v>3</v>
      </c>
      <c r="W5" s="20" t="s">
        <v>38</v>
      </c>
      <c r="X5" s="19">
        <f>IF(W5="","",VLOOKUP(W5,Criteria!$D$39:$E$42,2,FALSE))</f>
        <v>0</v>
      </c>
      <c r="Y5" s="20" t="s">
        <v>26</v>
      </c>
      <c r="Z5" s="19">
        <v>0.0</v>
      </c>
      <c r="AA5" s="20">
        <f t="shared" si="1"/>
        <v>43</v>
      </c>
      <c r="AB5" s="20" t="s">
        <v>26</v>
      </c>
      <c r="AC5" s="20">
        <v>5000.0</v>
      </c>
      <c r="AD5" s="20"/>
    </row>
    <row r="6" ht="28.5" customHeight="1">
      <c r="A6" s="21" t="s">
        <v>39</v>
      </c>
      <c r="B6" s="22" t="str">
        <f>VLOOKUP($A$2,Data!$B$2:$AK$99874,12,FALSE)</f>
        <v>อื่นๆ</v>
      </c>
      <c r="C6" s="12"/>
      <c r="D6" s="23"/>
      <c r="E6" s="14" t="str">
        <f>IF($D6="","",VLOOKUP($D6,Sheet3!$A$4:$H$99,2,FALSE))</f>
        <v/>
      </c>
      <c r="F6" s="15" t="str">
        <f>IF($D6="","",(VLOOKUP($D6,Sheet3!$A$4:$H$99,4,FALSE) &amp; " " &amp; VLOOKUP($D6,Sheet3!$A$4:$H$99,5,FALSE) &amp; " " &amp; VLOOKUP($D6,Sheet3!$A$4:$H$99,6,FALSE)))</f>
        <v/>
      </c>
      <c r="G6" s="15" t="s">
        <v>26</v>
      </c>
      <c r="H6" s="14" t="str">
        <f>IF(G6="","",VLOOKUP(G6,Criteria!$D$2:$E$5,2,FALSE))</f>
        <v>-</v>
      </c>
      <c r="I6" s="15" t="s">
        <v>26</v>
      </c>
      <c r="J6" s="14" t="str">
        <f>IF(I6="","",VLOOKUP(I6,Criteria!$D$6:$E$9,2,FALSE))</f>
        <v>-</v>
      </c>
      <c r="K6" s="15" t="s">
        <v>26</v>
      </c>
      <c r="L6" s="14" t="str">
        <f>IF(K6="","",VLOOKUP(K6,Criteria!$D$10:$E$13,2,FALSE))</f>
        <v>-</v>
      </c>
      <c r="M6" s="15" t="s">
        <v>26</v>
      </c>
      <c r="N6" s="14" t="str">
        <f>IF(M6="","",VLOOKUP(M6,Criteria!$D$14:$E$21,2,FALSE))</f>
        <v>-</v>
      </c>
      <c r="O6" s="15" t="s">
        <v>26</v>
      </c>
      <c r="P6" s="14" t="str">
        <f>IF(O6="","",VLOOKUP(O6,Criteria!$D$22:$E$25,2,FALSE))</f>
        <v>-</v>
      </c>
      <c r="Q6" s="15" t="s">
        <v>26</v>
      </c>
      <c r="R6" s="14" t="str">
        <f>IF(Q6="","",VLOOKUP(Q6,Criteria!$D$26:$E$29,2,FALSE))</f>
        <v>-</v>
      </c>
      <c r="S6" s="15" t="s">
        <v>26</v>
      </c>
      <c r="T6" s="14" t="str">
        <f>IF(S6="","",VLOOKUP(S6,Criteria!$D$30:$E$33,2,FALSE))</f>
        <v>-</v>
      </c>
      <c r="U6" s="15" t="s">
        <v>26</v>
      </c>
      <c r="V6" s="14" t="str">
        <f>IF(U6="","",VLOOKUP(U6,Criteria!$D$34:$E$38,2,FALSE))</f>
        <v>-</v>
      </c>
      <c r="W6" s="15" t="s">
        <v>26</v>
      </c>
      <c r="X6" s="14" t="str">
        <f>IF(W6="","",VLOOKUP(W6,Criteria!$D$39:$E$42,2,FALSE))</f>
        <v>-</v>
      </c>
      <c r="Y6" s="15" t="s">
        <v>26</v>
      </c>
      <c r="Z6" s="14" t="str">
        <f>IF(Y6="","",VLOOKUP(Y6,Criteria!$D$43:$E$44,2,FALSE))</f>
        <v>-</v>
      </c>
      <c r="AA6" s="15">
        <f t="shared" si="1"/>
        <v>0</v>
      </c>
      <c r="AB6" s="15" t="s">
        <v>26</v>
      </c>
      <c r="AC6" s="15" t="s">
        <v>26</v>
      </c>
      <c r="AD6" s="15"/>
    </row>
    <row r="7" ht="28.5" customHeight="1">
      <c r="A7" s="21" t="s">
        <v>40</v>
      </c>
      <c r="B7" s="24">
        <f>VLOOKUP($A$2,Data!$B$2:$AK$99874,13,FALSE)</f>
        <v>2200</v>
      </c>
      <c r="C7" s="12"/>
      <c r="D7" s="23"/>
      <c r="E7" s="14" t="str">
        <f>IF($D7="","",VLOOKUP($D7,Sheet3!$A$4:$H$99,2,FALSE))</f>
        <v/>
      </c>
      <c r="F7" s="15" t="str">
        <f>IF($D7="","",(VLOOKUP($D7,Sheet3!$A$4:$H$99,4,FALSE) &amp; " " &amp; VLOOKUP($D7,Sheet3!$A$4:$H$99,5,FALSE) &amp; " " &amp; VLOOKUP($D7,Sheet3!$A$4:$H$99,6,FALSE)))</f>
        <v/>
      </c>
      <c r="G7" s="15" t="s">
        <v>26</v>
      </c>
      <c r="H7" s="14" t="str">
        <f>IF(G7="","",VLOOKUP(G7,Criteria!$D$2:$E$5,2,FALSE))</f>
        <v>-</v>
      </c>
      <c r="I7" s="15" t="s">
        <v>26</v>
      </c>
      <c r="J7" s="14" t="str">
        <f>IF(I7="","",VLOOKUP(I7,Criteria!$D$6:$E$9,2,FALSE))</f>
        <v>-</v>
      </c>
      <c r="K7" s="15" t="s">
        <v>26</v>
      </c>
      <c r="L7" s="14" t="str">
        <f>IF(K7="","",VLOOKUP(K7,Criteria!$D$10:$E$13,2,FALSE))</f>
        <v>-</v>
      </c>
      <c r="M7" s="15" t="s">
        <v>26</v>
      </c>
      <c r="N7" s="14" t="str">
        <f>IF(M7="","",VLOOKUP(M7,Criteria!$D$14:$E$21,2,FALSE))</f>
        <v>-</v>
      </c>
      <c r="O7" s="15" t="s">
        <v>26</v>
      </c>
      <c r="P7" s="14" t="str">
        <f>IF(O7="","",VLOOKUP(O7,Criteria!$D$22:$E$25,2,FALSE))</f>
        <v>-</v>
      </c>
      <c r="Q7" s="15" t="s">
        <v>26</v>
      </c>
      <c r="R7" s="14" t="str">
        <f>IF(Q7="","",VLOOKUP(Q7,Criteria!$D$26:$E$29,2,FALSE))</f>
        <v>-</v>
      </c>
      <c r="S7" s="15" t="s">
        <v>26</v>
      </c>
      <c r="T7" s="14" t="str">
        <f>IF(S7="","",VLOOKUP(S7,Criteria!$D$30:$E$33,2,FALSE))</f>
        <v>-</v>
      </c>
      <c r="U7" s="15" t="s">
        <v>26</v>
      </c>
      <c r="V7" s="14" t="str">
        <f>IF(U7="","",VLOOKUP(U7,Criteria!$D$34:$E$38,2,FALSE))</f>
        <v>-</v>
      </c>
      <c r="W7" s="15" t="s">
        <v>26</v>
      </c>
      <c r="X7" s="14" t="str">
        <f>IF(W7="","",VLOOKUP(W7,Criteria!$D$39:$E$42,2,FALSE))</f>
        <v>-</v>
      </c>
      <c r="Y7" s="15" t="s">
        <v>26</v>
      </c>
      <c r="Z7" s="14" t="str">
        <f>IF(Y7="","",VLOOKUP(Y7,Criteria!$D$43:$E$44,2,FALSE))</f>
        <v>-</v>
      </c>
      <c r="AA7" s="15">
        <f t="shared" si="1"/>
        <v>0</v>
      </c>
      <c r="AB7" s="15" t="s">
        <v>26</v>
      </c>
      <c r="AC7" s="15" t="s">
        <v>26</v>
      </c>
      <c r="AD7" s="15"/>
    </row>
    <row r="8" ht="28.5" customHeight="1">
      <c r="A8" s="21" t="s">
        <v>41</v>
      </c>
      <c r="B8" s="24">
        <f>VLOOKUP($A$2,Data!$B$2:$AK$99874,14,FALSE)</f>
        <v>3500</v>
      </c>
      <c r="C8" s="12"/>
      <c r="D8" s="23"/>
      <c r="E8" s="14" t="str">
        <f>IF($D8="","",VLOOKUP($D8,Sheet3!$A$4:$H$99,2,FALSE))</f>
        <v/>
      </c>
      <c r="F8" s="15" t="str">
        <f>IF($D8="","",(VLOOKUP($D8,Sheet3!$A$4:$H$99,4,FALSE) &amp; " " &amp; VLOOKUP($D8,Sheet3!$A$4:$H$99,5,FALSE) &amp; " " &amp; VLOOKUP($D8,Sheet3!$A$4:$H$99,6,FALSE)))</f>
        <v/>
      </c>
      <c r="G8" s="15" t="s">
        <v>26</v>
      </c>
      <c r="H8" s="14" t="str">
        <f>IF(G8="","",VLOOKUP(G8,Criteria!$D$2:$E$5,2,FALSE))</f>
        <v>-</v>
      </c>
      <c r="I8" s="15" t="s">
        <v>26</v>
      </c>
      <c r="J8" s="14" t="str">
        <f>IF(I8="","",VLOOKUP(I8,Criteria!$D$6:$E$9,2,FALSE))</f>
        <v>-</v>
      </c>
      <c r="K8" s="15" t="s">
        <v>26</v>
      </c>
      <c r="L8" s="14" t="str">
        <f>IF(K8="","",VLOOKUP(K8,Criteria!$D$10:$E$13,2,FALSE))</f>
        <v>-</v>
      </c>
      <c r="M8" s="15" t="s">
        <v>26</v>
      </c>
      <c r="N8" s="14" t="str">
        <f>IF(M8="","",VLOOKUP(M8,Criteria!$D$14:$E$21,2,FALSE))</f>
        <v>-</v>
      </c>
      <c r="O8" s="15" t="s">
        <v>26</v>
      </c>
      <c r="P8" s="14" t="str">
        <f>IF(O8="","",VLOOKUP(O8,Criteria!$D$22:$E$25,2,FALSE))</f>
        <v>-</v>
      </c>
      <c r="Q8" s="15" t="s">
        <v>26</v>
      </c>
      <c r="R8" s="14" t="str">
        <f>IF(Q8="","",VLOOKUP(Q8,Criteria!$D$26:$E$29,2,FALSE))</f>
        <v>-</v>
      </c>
      <c r="S8" s="15" t="s">
        <v>26</v>
      </c>
      <c r="T8" s="14" t="str">
        <f>IF(S8="","",VLOOKUP(S8,Criteria!$D$30:$E$33,2,FALSE))</f>
        <v>-</v>
      </c>
      <c r="U8" s="15" t="s">
        <v>26</v>
      </c>
      <c r="V8" s="14" t="str">
        <f>IF(U8="","",VLOOKUP(U8,Criteria!$D$34:$E$38,2,FALSE))</f>
        <v>-</v>
      </c>
      <c r="W8" s="15" t="s">
        <v>26</v>
      </c>
      <c r="X8" s="14" t="str">
        <f>IF(W8="","",VLOOKUP(W8,Criteria!$D$39:$E$42,2,FALSE))</f>
        <v>-</v>
      </c>
      <c r="Y8" s="15" t="s">
        <v>26</v>
      </c>
      <c r="Z8" s="14" t="str">
        <f>IF(Y8="","",VLOOKUP(Y8,Criteria!$D$43:$E$44,2,FALSE))</f>
        <v>-</v>
      </c>
      <c r="AA8" s="15">
        <f t="shared" si="1"/>
        <v>0</v>
      </c>
      <c r="AB8" s="15" t="s">
        <v>26</v>
      </c>
      <c r="AC8" s="15" t="s">
        <v>26</v>
      </c>
      <c r="AD8" s="15"/>
    </row>
    <row r="9" ht="28.5" customHeight="1">
      <c r="A9" s="21" t="s">
        <v>42</v>
      </c>
      <c r="B9" s="24">
        <f>VLOOKUP($A$2,Data!$B$2:$AK$99874,15,FALSE)</f>
        <v>500</v>
      </c>
      <c r="C9" s="12"/>
      <c r="D9" s="23"/>
      <c r="E9" s="14" t="str">
        <f>IF($D9="","",VLOOKUP($D9,Sheet3!$A$4:$H$99,2,FALSE))</f>
        <v/>
      </c>
      <c r="F9" s="15" t="str">
        <f>IF($D9="","",(VLOOKUP($D9,Sheet3!$A$4:$H$99,4,FALSE) &amp; " " &amp; VLOOKUP($D9,Sheet3!$A$4:$H$99,5,FALSE) &amp; " " &amp; VLOOKUP($D9,Sheet3!$A$4:$H$99,6,FALSE)))</f>
        <v/>
      </c>
      <c r="G9" s="15" t="s">
        <v>26</v>
      </c>
      <c r="H9" s="14" t="str">
        <f>IF(G9="","",VLOOKUP(G9,Criteria!$D$2:$E$5,2,FALSE))</f>
        <v>-</v>
      </c>
      <c r="I9" s="15" t="s">
        <v>26</v>
      </c>
      <c r="J9" s="14" t="str">
        <f>IF(I9="","",VLOOKUP(I9,Criteria!$D$6:$E$9,2,FALSE))</f>
        <v>-</v>
      </c>
      <c r="K9" s="15" t="s">
        <v>26</v>
      </c>
      <c r="L9" s="14" t="str">
        <f>IF(K9="","",VLOOKUP(K9,Criteria!$D$10:$E$13,2,FALSE))</f>
        <v>-</v>
      </c>
      <c r="M9" s="15" t="s">
        <v>26</v>
      </c>
      <c r="N9" s="14" t="str">
        <f>IF(M9="","",VLOOKUP(M9,Criteria!$D$14:$E$21,2,FALSE))</f>
        <v>-</v>
      </c>
      <c r="O9" s="15" t="s">
        <v>26</v>
      </c>
      <c r="P9" s="14" t="str">
        <f>IF(O9="","",VLOOKUP(O9,Criteria!$D$22:$E$25,2,FALSE))</f>
        <v>-</v>
      </c>
      <c r="Q9" s="15" t="s">
        <v>26</v>
      </c>
      <c r="R9" s="14" t="str">
        <f>IF(Q9="","",VLOOKUP(Q9,Criteria!$D$26:$E$29,2,FALSE))</f>
        <v>-</v>
      </c>
      <c r="S9" s="15" t="s">
        <v>26</v>
      </c>
      <c r="T9" s="14" t="str">
        <f>IF(S9="","",VLOOKUP(S9,Criteria!$D$30:$E$33,2,FALSE))</f>
        <v>-</v>
      </c>
      <c r="U9" s="15" t="s">
        <v>26</v>
      </c>
      <c r="V9" s="14" t="str">
        <f>IF(U9="","",VLOOKUP(U9,Criteria!$D$34:$E$38,2,FALSE))</f>
        <v>-</v>
      </c>
      <c r="W9" s="15" t="s">
        <v>26</v>
      </c>
      <c r="X9" s="14" t="str">
        <f>IF(W9="","",VLOOKUP(W9,Criteria!$D$39:$E$42,2,FALSE))</f>
        <v>-</v>
      </c>
      <c r="Y9" s="15" t="s">
        <v>26</v>
      </c>
      <c r="Z9" s="14" t="str">
        <f>IF(Y9="","",VLOOKUP(Y9,Criteria!$D$43:$E$44,2,FALSE))</f>
        <v>-</v>
      </c>
      <c r="AA9" s="15">
        <f t="shared" si="1"/>
        <v>0</v>
      </c>
      <c r="AB9" s="15" t="s">
        <v>26</v>
      </c>
      <c r="AC9" s="15" t="s">
        <v>26</v>
      </c>
      <c r="AD9" s="15"/>
    </row>
    <row r="10" ht="28.5" customHeight="1">
      <c r="A10" s="21" t="s">
        <v>43</v>
      </c>
      <c r="B10" s="25" t="str">
        <f>VLOOKUP($A$2,Data!$B$2:$AK$99874,16,FALSE)</f>
        <v>โทรศัพท์, iPad</v>
      </c>
      <c r="C10" s="12"/>
      <c r="D10" s="23"/>
      <c r="E10" s="14" t="str">
        <f>IF($D10="","",VLOOKUP($D10,Sheet3!$A$4:$H$99,2,FALSE))</f>
        <v/>
      </c>
      <c r="F10" s="15" t="str">
        <f>IF($D10="","",(VLOOKUP($D10,Sheet3!$A$4:$H$99,4,FALSE) &amp; " " &amp; VLOOKUP($D10,Sheet3!$A$4:$H$99,5,FALSE) &amp; " " &amp; VLOOKUP($D10,Sheet3!$A$4:$H$99,6,FALSE)))</f>
        <v/>
      </c>
      <c r="G10" s="15" t="s">
        <v>26</v>
      </c>
      <c r="H10" s="14" t="str">
        <f>IF(G10="","",VLOOKUP(G10,Criteria!$D$2:$E$5,2,FALSE))</f>
        <v>-</v>
      </c>
      <c r="I10" s="15" t="s">
        <v>26</v>
      </c>
      <c r="J10" s="14" t="str">
        <f>IF(I10="","",VLOOKUP(I10,Criteria!$D$6:$E$9,2,FALSE))</f>
        <v>-</v>
      </c>
      <c r="K10" s="15" t="s">
        <v>26</v>
      </c>
      <c r="L10" s="14" t="str">
        <f>IF(K10="","",VLOOKUP(K10,Criteria!$D$10:$E$13,2,FALSE))</f>
        <v>-</v>
      </c>
      <c r="M10" s="15" t="s">
        <v>26</v>
      </c>
      <c r="N10" s="14" t="str">
        <f>IF(M10="","",VLOOKUP(M10,Criteria!$D$14:$E$21,2,FALSE))</f>
        <v>-</v>
      </c>
      <c r="O10" s="15" t="s">
        <v>26</v>
      </c>
      <c r="P10" s="14" t="str">
        <f>IF(O10="","",VLOOKUP(O10,Criteria!$D$22:$E$25,2,FALSE))</f>
        <v>-</v>
      </c>
      <c r="Q10" s="15" t="s">
        <v>26</v>
      </c>
      <c r="R10" s="14" t="str">
        <f>IF(Q10="","",VLOOKUP(Q10,Criteria!$D$26:$E$29,2,FALSE))</f>
        <v>-</v>
      </c>
      <c r="S10" s="15" t="s">
        <v>26</v>
      </c>
      <c r="T10" s="14" t="str">
        <f>IF(S10="","",VLOOKUP(S10,Criteria!$D$30:$E$33,2,FALSE))</f>
        <v>-</v>
      </c>
      <c r="U10" s="15" t="s">
        <v>26</v>
      </c>
      <c r="V10" s="14" t="str">
        <f>IF(U10="","",VLOOKUP(U10,Criteria!$D$34:$E$38,2,FALSE))</f>
        <v>-</v>
      </c>
      <c r="W10" s="15" t="s">
        <v>26</v>
      </c>
      <c r="X10" s="14" t="str">
        <f>IF(W10="","",VLOOKUP(W10,Criteria!$D$39:$E$42,2,FALSE))</f>
        <v>-</v>
      </c>
      <c r="Y10" s="15" t="s">
        <v>26</v>
      </c>
      <c r="Z10" s="14" t="str">
        <f>IF(Y10="","",VLOOKUP(Y10,Criteria!$D$43:$E$44,2,FALSE))</f>
        <v>-</v>
      </c>
      <c r="AA10" s="15">
        <f t="shared" si="1"/>
        <v>0</v>
      </c>
      <c r="AB10" s="15" t="s">
        <v>26</v>
      </c>
      <c r="AC10" s="15" t="s">
        <v>26</v>
      </c>
      <c r="AD10" s="15"/>
    </row>
    <row r="11" ht="28.5" customHeight="1">
      <c r="A11" s="21" t="s">
        <v>44</v>
      </c>
      <c r="B11" s="25" t="str">
        <f>VLOOKUP($A$2,Data!$B$2:$AK$99874,17,FALSE)</f>
        <v>มีรายได้เสริม</v>
      </c>
      <c r="C11" s="12"/>
      <c r="D11" s="23"/>
      <c r="E11" s="14" t="str">
        <f>IF($D11="","",VLOOKUP($D11,Sheet3!$A$4:$H$99,2,FALSE))</f>
        <v/>
      </c>
      <c r="F11" s="15" t="str">
        <f>IF($D11="","",(VLOOKUP($D11,Sheet3!$A$4:$H$99,4,FALSE) &amp; " " &amp; VLOOKUP($D11,Sheet3!$A$4:$H$99,5,FALSE) &amp; " " &amp; VLOOKUP($D11,Sheet3!$A$4:$H$99,6,FALSE)))</f>
        <v/>
      </c>
      <c r="G11" s="15" t="s">
        <v>26</v>
      </c>
      <c r="H11" s="14" t="str">
        <f>IF(G11="","",VLOOKUP(G11,Criteria!$D$2:$E$5,2,FALSE))</f>
        <v>-</v>
      </c>
      <c r="I11" s="15" t="s">
        <v>26</v>
      </c>
      <c r="J11" s="14" t="str">
        <f>IF(I11="","",VLOOKUP(I11,Criteria!$D$6:$E$9,2,FALSE))</f>
        <v>-</v>
      </c>
      <c r="K11" s="15" t="s">
        <v>26</v>
      </c>
      <c r="L11" s="14" t="str">
        <f>IF(K11="","",VLOOKUP(K11,Criteria!$D$10:$E$13,2,FALSE))</f>
        <v>-</v>
      </c>
      <c r="M11" s="15" t="s">
        <v>26</v>
      </c>
      <c r="N11" s="14" t="str">
        <f>IF(M11="","",VLOOKUP(M11,Criteria!$D$14:$E$21,2,FALSE))</f>
        <v>-</v>
      </c>
      <c r="O11" s="15" t="s">
        <v>26</v>
      </c>
      <c r="P11" s="14" t="str">
        <f>IF(O11="","",VLOOKUP(O11,Criteria!$D$22:$E$25,2,FALSE))</f>
        <v>-</v>
      </c>
      <c r="Q11" s="15" t="s">
        <v>26</v>
      </c>
      <c r="R11" s="14" t="str">
        <f>IF(Q11="","",VLOOKUP(Q11,Criteria!$D$26:$E$29,2,FALSE))</f>
        <v>-</v>
      </c>
      <c r="S11" s="15" t="s">
        <v>26</v>
      </c>
      <c r="T11" s="14" t="str">
        <f>IF(S11="","",VLOOKUP(S11,Criteria!$D$30:$E$33,2,FALSE))</f>
        <v>-</v>
      </c>
      <c r="U11" s="15" t="s">
        <v>26</v>
      </c>
      <c r="V11" s="14" t="str">
        <f>IF(U11="","",VLOOKUP(U11,Criteria!$D$34:$E$38,2,FALSE))</f>
        <v>-</v>
      </c>
      <c r="W11" s="15" t="s">
        <v>26</v>
      </c>
      <c r="X11" s="14" t="str">
        <f>IF(W11="","",VLOOKUP(W11,Criteria!$D$39:$E$42,2,FALSE))</f>
        <v>-</v>
      </c>
      <c r="Y11" s="15" t="s">
        <v>26</v>
      </c>
      <c r="Z11" s="14" t="str">
        <f>IF(Y11="","",VLOOKUP(Y11,Criteria!$D$43:$E$44,2,FALSE))</f>
        <v>-</v>
      </c>
      <c r="AA11" s="15">
        <f t="shared" si="1"/>
        <v>0</v>
      </c>
      <c r="AB11" s="15" t="s">
        <v>26</v>
      </c>
      <c r="AC11" s="15" t="s">
        <v>26</v>
      </c>
      <c r="AD11" s="15"/>
    </row>
    <row r="12" ht="28.5" customHeight="1">
      <c r="A12" s="21" t="s">
        <v>45</v>
      </c>
      <c r="B12" s="25">
        <f>VLOOKUP($A$2,Data!$B$2:$AK$99874,18,FALSE)</f>
        <v>71</v>
      </c>
      <c r="C12" s="12"/>
      <c r="D12" s="23"/>
      <c r="E12" s="14" t="str">
        <f>IF($D12="","",VLOOKUP($D12,Sheet3!$A$4:$H$99,2,FALSE))</f>
        <v/>
      </c>
      <c r="F12" s="15" t="str">
        <f>IF($D12="","",(VLOOKUP($D12,Sheet3!$A$4:$H$99,4,FALSE) &amp; " " &amp; VLOOKUP($D12,Sheet3!$A$4:$H$99,5,FALSE) &amp; " " &amp; VLOOKUP($D12,Sheet3!$A$4:$H$99,6,FALSE)))</f>
        <v/>
      </c>
      <c r="G12" s="15" t="s">
        <v>26</v>
      </c>
      <c r="H12" s="14" t="str">
        <f>IF(G12="","",VLOOKUP(G12,Criteria!$D$2:$E$5,2,FALSE))</f>
        <v>-</v>
      </c>
      <c r="I12" s="15" t="s">
        <v>26</v>
      </c>
      <c r="J12" s="14" t="str">
        <f>IF(I12="","",VLOOKUP(I12,Criteria!$D$6:$E$9,2,FALSE))</f>
        <v>-</v>
      </c>
      <c r="K12" s="15" t="s">
        <v>26</v>
      </c>
      <c r="L12" s="14" t="str">
        <f>IF(K12="","",VLOOKUP(K12,Criteria!$D$10:$E$13,2,FALSE))</f>
        <v>-</v>
      </c>
      <c r="M12" s="15" t="s">
        <v>26</v>
      </c>
      <c r="N12" s="14" t="str">
        <f>IF(M12="","",VLOOKUP(M12,Criteria!$D$14:$E$21,2,FALSE))</f>
        <v>-</v>
      </c>
      <c r="O12" s="15" t="s">
        <v>26</v>
      </c>
      <c r="P12" s="14" t="str">
        <f>IF(O12="","",VLOOKUP(O12,Criteria!$D$22:$E$25,2,FALSE))</f>
        <v>-</v>
      </c>
      <c r="Q12" s="15" t="s">
        <v>26</v>
      </c>
      <c r="R12" s="14" t="str">
        <f>IF(Q12="","",VLOOKUP(Q12,Criteria!$D$26:$E$29,2,FALSE))</f>
        <v>-</v>
      </c>
      <c r="S12" s="15" t="s">
        <v>26</v>
      </c>
      <c r="T12" s="14" t="str">
        <f>IF(S12="","",VLOOKUP(S12,Criteria!$D$30:$E$33,2,FALSE))</f>
        <v>-</v>
      </c>
      <c r="U12" s="15" t="s">
        <v>26</v>
      </c>
      <c r="V12" s="14" t="str">
        <f>IF(U12="","",VLOOKUP(U12,Criteria!$D$34:$E$38,2,FALSE))</f>
        <v>-</v>
      </c>
      <c r="W12" s="15" t="s">
        <v>26</v>
      </c>
      <c r="X12" s="14" t="str">
        <f>IF(W12="","",VLOOKUP(W12,Criteria!$D$39:$E$42,2,FALSE))</f>
        <v>-</v>
      </c>
      <c r="Y12" s="15" t="s">
        <v>26</v>
      </c>
      <c r="Z12" s="14" t="str">
        <f>IF(Y12="","",VLOOKUP(Y12,Criteria!$D$43:$E$44,2,FALSE))</f>
        <v>-</v>
      </c>
      <c r="AA12" s="15">
        <f t="shared" si="1"/>
        <v>0</v>
      </c>
      <c r="AB12" s="15" t="s">
        <v>26</v>
      </c>
      <c r="AC12" s="15" t="s">
        <v>26</v>
      </c>
      <c r="AD12" s="15"/>
    </row>
    <row r="13" ht="28.5" customHeight="1">
      <c r="A13" s="21" t="s">
        <v>46</v>
      </c>
      <c r="B13" s="25" t="str">
        <f>VLOOKUP($A$2,Data!$B$2:$AK$99874,19,FALSE)</f>
        <v>ไม่ได้ประกอบอาชีพ</v>
      </c>
      <c r="C13" s="12"/>
      <c r="D13" s="23"/>
      <c r="E13" s="14" t="str">
        <f>IF($D13="","",VLOOKUP($D13,Sheet3!$A$4:$H$99,2,FALSE))</f>
        <v/>
      </c>
      <c r="F13" s="15" t="str">
        <f>IF($D13="","",(VLOOKUP($D13,Sheet3!$A$4:$H$99,4,FALSE) &amp; " " &amp; VLOOKUP($D13,Sheet3!$A$4:$H$99,5,FALSE) &amp; " " &amp; VLOOKUP($D13,Sheet3!$A$4:$H$99,6,FALSE)))</f>
        <v/>
      </c>
      <c r="G13" s="15" t="s">
        <v>26</v>
      </c>
      <c r="H13" s="14" t="str">
        <f>IF(G13="","",VLOOKUP(G13,Criteria!$D$2:$E$5,2,FALSE))</f>
        <v>-</v>
      </c>
      <c r="I13" s="15" t="s">
        <v>26</v>
      </c>
      <c r="J13" s="14" t="str">
        <f>IF(I13="","",VLOOKUP(I13,Criteria!$D$6:$E$9,2,FALSE))</f>
        <v>-</v>
      </c>
      <c r="K13" s="15" t="s">
        <v>26</v>
      </c>
      <c r="L13" s="14" t="str">
        <f>IF(K13="","",VLOOKUP(K13,Criteria!$D$10:$E$13,2,FALSE))</f>
        <v>-</v>
      </c>
      <c r="M13" s="15" t="s">
        <v>26</v>
      </c>
      <c r="N13" s="14" t="str">
        <f>IF(M13="","",VLOOKUP(M13,Criteria!$D$14:$E$21,2,FALSE))</f>
        <v>-</v>
      </c>
      <c r="O13" s="15" t="s">
        <v>26</v>
      </c>
      <c r="P13" s="14" t="str">
        <f>IF(O13="","",VLOOKUP(O13,Criteria!$D$22:$E$25,2,FALSE))</f>
        <v>-</v>
      </c>
      <c r="Q13" s="15" t="s">
        <v>26</v>
      </c>
      <c r="R13" s="14" t="str">
        <f>IF(Q13="","",VLOOKUP(Q13,Criteria!$D$26:$E$29,2,FALSE))</f>
        <v>-</v>
      </c>
      <c r="S13" s="15" t="s">
        <v>26</v>
      </c>
      <c r="T13" s="14" t="str">
        <f>IF(S13="","",VLOOKUP(S13,Criteria!$D$30:$E$33,2,FALSE))</f>
        <v>-</v>
      </c>
      <c r="U13" s="15" t="s">
        <v>26</v>
      </c>
      <c r="V13" s="14" t="str">
        <f>IF(U13="","",VLOOKUP(U13,Criteria!$D$34:$E$38,2,FALSE))</f>
        <v>-</v>
      </c>
      <c r="W13" s="15" t="s">
        <v>26</v>
      </c>
      <c r="X13" s="14" t="str">
        <f>IF(W13="","",VLOOKUP(W13,Criteria!$D$39:$E$42,2,FALSE))</f>
        <v>-</v>
      </c>
      <c r="Y13" s="15" t="s">
        <v>26</v>
      </c>
      <c r="Z13" s="14" t="str">
        <f>IF(Y13="","",VLOOKUP(Y13,Criteria!$D$43:$E$44,2,FALSE))</f>
        <v>-</v>
      </c>
      <c r="AA13" s="15">
        <f t="shared" si="1"/>
        <v>0</v>
      </c>
      <c r="AB13" s="15" t="s">
        <v>26</v>
      </c>
      <c r="AC13" s="15" t="s">
        <v>26</v>
      </c>
      <c r="AD13" s="15"/>
    </row>
    <row r="14" ht="28.5" customHeight="1">
      <c r="A14" s="21" t="s">
        <v>47</v>
      </c>
      <c r="B14" s="24" t="str">
        <f>VLOOKUP($A$2,Data!$B$2:$AK$99874,20,FALSE)</f>
        <v/>
      </c>
      <c r="C14" s="12"/>
      <c r="D14" s="23"/>
      <c r="E14" s="14" t="str">
        <f>IF($D14="","",VLOOKUP($D14,Sheet3!$A$4:$H$99,2,FALSE))</f>
        <v/>
      </c>
      <c r="F14" s="15" t="str">
        <f>IF($D14="","",(VLOOKUP($D14,Sheet3!$A$4:$H$99,4,FALSE) &amp; " " &amp; VLOOKUP($D14,Sheet3!$A$4:$H$99,5,FALSE) &amp; " " &amp; VLOOKUP($D14,Sheet3!$A$4:$H$99,6,FALSE)))</f>
        <v/>
      </c>
      <c r="G14" s="15" t="s">
        <v>26</v>
      </c>
      <c r="H14" s="14" t="str">
        <f>IF(G14="","",VLOOKUP(G14,Criteria!$D$2:$E$5,2,FALSE))</f>
        <v>-</v>
      </c>
      <c r="I14" s="15" t="s">
        <v>26</v>
      </c>
      <c r="J14" s="14" t="str">
        <f>IF(I14="","",VLOOKUP(I14,Criteria!$D$6:$E$9,2,FALSE))</f>
        <v>-</v>
      </c>
      <c r="K14" s="15" t="s">
        <v>26</v>
      </c>
      <c r="L14" s="14" t="str">
        <f>IF(K14="","",VLOOKUP(K14,Criteria!$D$10:$E$13,2,FALSE))</f>
        <v>-</v>
      </c>
      <c r="M14" s="15" t="s">
        <v>26</v>
      </c>
      <c r="N14" s="14" t="str">
        <f>IF(M14="","",VLOOKUP(M14,Criteria!$D$14:$E$21,2,FALSE))</f>
        <v>-</v>
      </c>
      <c r="O14" s="15" t="s">
        <v>26</v>
      </c>
      <c r="P14" s="14" t="str">
        <f>IF(O14="","",VLOOKUP(O14,Criteria!$D$22:$E$25,2,FALSE))</f>
        <v>-</v>
      </c>
      <c r="Q14" s="15" t="s">
        <v>26</v>
      </c>
      <c r="R14" s="14" t="str">
        <f>IF(Q14="","",VLOOKUP(Q14,Criteria!$D$26:$E$29,2,FALSE))</f>
        <v>-</v>
      </c>
      <c r="S14" s="15" t="s">
        <v>26</v>
      </c>
      <c r="T14" s="14" t="str">
        <f>IF(S14="","",VLOOKUP(S14,Criteria!$D$30:$E$33,2,FALSE))</f>
        <v>-</v>
      </c>
      <c r="U14" s="15" t="s">
        <v>26</v>
      </c>
      <c r="V14" s="14" t="str">
        <f>IF(U14="","",VLOOKUP(U14,Criteria!$D$34:$E$38,2,FALSE))</f>
        <v>-</v>
      </c>
      <c r="W14" s="15" t="s">
        <v>26</v>
      </c>
      <c r="X14" s="14" t="str">
        <f>IF(W14="","",VLOOKUP(W14,Criteria!$D$39:$E$42,2,FALSE))</f>
        <v>-</v>
      </c>
      <c r="Y14" s="15" t="s">
        <v>26</v>
      </c>
      <c r="Z14" s="14" t="str">
        <f>IF(Y14="","",VLOOKUP(Y14,Criteria!$D$43:$E$44,2,FALSE))</f>
        <v>-</v>
      </c>
      <c r="AA14" s="15">
        <f t="shared" si="1"/>
        <v>0</v>
      </c>
      <c r="AB14" s="15" t="s">
        <v>26</v>
      </c>
      <c r="AC14" s="15" t="s">
        <v>26</v>
      </c>
      <c r="AD14" s="15"/>
    </row>
    <row r="15" ht="28.5" customHeight="1">
      <c r="A15" s="21" t="s">
        <v>48</v>
      </c>
      <c r="B15" s="25" t="str">
        <f>VLOOKUP($A$2,Data!$B$2:$AK$99874,21,FALSE)</f>
        <v>มีชีวิตอยู่</v>
      </c>
      <c r="C15" s="12"/>
      <c r="D15" s="23"/>
      <c r="E15" s="14" t="str">
        <f>IF($D15="","",VLOOKUP($D15,Sheet3!$A$4:$H$99,2,FALSE))</f>
        <v/>
      </c>
      <c r="F15" s="15" t="str">
        <f>IF($D15="","",(VLOOKUP($D15,Sheet3!$A$4:$H$99,4,FALSE) &amp; " " &amp; VLOOKUP($D15,Sheet3!$A$4:$H$99,5,FALSE) &amp; " " &amp; VLOOKUP($D15,Sheet3!$A$4:$H$99,6,FALSE)))</f>
        <v/>
      </c>
      <c r="G15" s="15" t="s">
        <v>26</v>
      </c>
      <c r="H15" s="14" t="str">
        <f>IF(G15="","",VLOOKUP(G15,Criteria!$D$2:$E$5,2,FALSE))</f>
        <v>-</v>
      </c>
      <c r="I15" s="15" t="s">
        <v>26</v>
      </c>
      <c r="J15" s="14" t="str">
        <f>IF(I15="","",VLOOKUP(I15,Criteria!$D$6:$E$9,2,FALSE))</f>
        <v>-</v>
      </c>
      <c r="K15" s="15" t="s">
        <v>26</v>
      </c>
      <c r="L15" s="14" t="str">
        <f>IF(K15="","",VLOOKUP(K15,Criteria!$D$10:$E$13,2,FALSE))</f>
        <v>-</v>
      </c>
      <c r="M15" s="15" t="s">
        <v>26</v>
      </c>
      <c r="N15" s="14" t="str">
        <f>IF(M15="","",VLOOKUP(M15,Criteria!$D$14:$E$21,2,FALSE))</f>
        <v>-</v>
      </c>
      <c r="O15" s="15" t="s">
        <v>26</v>
      </c>
      <c r="P15" s="14" t="str">
        <f>IF(O15="","",VLOOKUP(O15,Criteria!$D$22:$E$25,2,FALSE))</f>
        <v>-</v>
      </c>
      <c r="Q15" s="15" t="s">
        <v>26</v>
      </c>
      <c r="R15" s="14" t="str">
        <f>IF(Q15="","",VLOOKUP(Q15,Criteria!$D$26:$E$29,2,FALSE))</f>
        <v>-</v>
      </c>
      <c r="S15" s="15" t="s">
        <v>26</v>
      </c>
      <c r="T15" s="14" t="str">
        <f>IF(S15="","",VLOOKUP(S15,Criteria!$D$30:$E$33,2,FALSE))</f>
        <v>-</v>
      </c>
      <c r="U15" s="15" t="s">
        <v>26</v>
      </c>
      <c r="V15" s="14" t="str">
        <f>IF(U15="","",VLOOKUP(U15,Criteria!$D$34:$E$38,2,FALSE))</f>
        <v>-</v>
      </c>
      <c r="W15" s="15" t="s">
        <v>26</v>
      </c>
      <c r="X15" s="14" t="str">
        <f>IF(W15="","",VLOOKUP(W15,Criteria!$D$39:$E$42,2,FALSE))</f>
        <v>-</v>
      </c>
      <c r="Y15" s="15" t="s">
        <v>26</v>
      </c>
      <c r="Z15" s="14" t="str">
        <f>IF(Y15="","",VLOOKUP(Y15,Criteria!$D$43:$E$44,2,FALSE))</f>
        <v>-</v>
      </c>
      <c r="AA15" s="15">
        <f t="shared" si="1"/>
        <v>0</v>
      </c>
      <c r="AB15" s="15" t="s">
        <v>26</v>
      </c>
      <c r="AC15" s="15" t="s">
        <v>26</v>
      </c>
      <c r="AD15" s="15"/>
    </row>
    <row r="16" ht="28.5" customHeight="1">
      <c r="A16" s="21" t="s">
        <v>49</v>
      </c>
      <c r="B16" s="25">
        <f>VLOOKUP($A$2,Data!$B$2:$AK$99874,22,FALSE)</f>
        <v>54</v>
      </c>
      <c r="C16" s="12"/>
      <c r="D16" s="23"/>
      <c r="E16" s="14" t="str">
        <f>IF($D16="","",VLOOKUP($D16,Sheet3!$A$4:$H$99,2,FALSE))</f>
        <v/>
      </c>
      <c r="F16" s="15" t="str">
        <f>IF($D16="","",(VLOOKUP($D16,Sheet3!$A$4:$H$99,4,FALSE) &amp; " " &amp; VLOOKUP($D16,Sheet3!$A$4:$H$99,5,FALSE) &amp; " " &amp; VLOOKUP($D16,Sheet3!$A$4:$H$99,6,FALSE)))</f>
        <v/>
      </c>
      <c r="G16" s="15" t="s">
        <v>26</v>
      </c>
      <c r="H16" s="14" t="str">
        <f>IF(G16="","",VLOOKUP(G16,Criteria!$D$2:$E$5,2,FALSE))</f>
        <v>-</v>
      </c>
      <c r="I16" s="15" t="s">
        <v>26</v>
      </c>
      <c r="J16" s="14" t="str">
        <f>IF(I16="","",VLOOKUP(I16,Criteria!$D$6:$E$9,2,FALSE))</f>
        <v>-</v>
      </c>
      <c r="K16" s="15" t="s">
        <v>26</v>
      </c>
      <c r="L16" s="14" t="str">
        <f>IF(K16="","",VLOOKUP(K16,Criteria!$D$10:$E$13,2,FALSE))</f>
        <v>-</v>
      </c>
      <c r="M16" s="15" t="s">
        <v>26</v>
      </c>
      <c r="N16" s="14" t="str">
        <f>IF(M16="","",VLOOKUP(M16,Criteria!$D$14:$E$21,2,FALSE))</f>
        <v>-</v>
      </c>
      <c r="O16" s="15" t="s">
        <v>26</v>
      </c>
      <c r="P16" s="14" t="str">
        <f>IF(O16="","",VLOOKUP(O16,Criteria!$D$22:$E$25,2,FALSE))</f>
        <v>-</v>
      </c>
      <c r="Q16" s="15" t="s">
        <v>26</v>
      </c>
      <c r="R16" s="14" t="str">
        <f>IF(Q16="","",VLOOKUP(Q16,Criteria!$D$26:$E$29,2,FALSE))</f>
        <v>-</v>
      </c>
      <c r="S16" s="15" t="s">
        <v>26</v>
      </c>
      <c r="T16" s="14" t="str">
        <f>IF(S16="","",VLOOKUP(S16,Criteria!$D$30:$E$33,2,FALSE))</f>
        <v>-</v>
      </c>
      <c r="U16" s="15" t="s">
        <v>26</v>
      </c>
      <c r="V16" s="14" t="str">
        <f>IF(U16="","",VLOOKUP(U16,Criteria!$D$34:$E$38,2,FALSE))</f>
        <v>-</v>
      </c>
      <c r="W16" s="15" t="s">
        <v>26</v>
      </c>
      <c r="X16" s="14" t="str">
        <f>IF(W16="","",VLOOKUP(W16,Criteria!$D$39:$E$42,2,FALSE))</f>
        <v>-</v>
      </c>
      <c r="Y16" s="15" t="s">
        <v>26</v>
      </c>
      <c r="Z16" s="14" t="str">
        <f>IF(Y16="","",VLOOKUP(Y16,Criteria!$D$43:$E$44,2,FALSE))</f>
        <v>-</v>
      </c>
      <c r="AA16" s="15">
        <f t="shared" si="1"/>
        <v>0</v>
      </c>
      <c r="AB16" s="15" t="s">
        <v>26</v>
      </c>
      <c r="AC16" s="15" t="s">
        <v>26</v>
      </c>
      <c r="AD16" s="15"/>
    </row>
    <row r="17" ht="28.5" customHeight="1">
      <c r="A17" s="21" t="s">
        <v>50</v>
      </c>
      <c r="B17" s="25" t="str">
        <f>VLOOKUP($A$2,Data!$B$2:$AK$99874,23,FALSE)</f>
        <v>ธุรกิจส่วนตัว / ค้าขาย</v>
      </c>
      <c r="C17" s="12"/>
      <c r="D17" s="23"/>
      <c r="E17" s="14" t="str">
        <f>IF($D17="","",VLOOKUP($D17,Sheet3!$A$4:$H$99,2,FALSE))</f>
        <v/>
      </c>
      <c r="F17" s="15" t="str">
        <f>IF($D17="","",(VLOOKUP($D17,Sheet3!$A$4:$H$99,4,FALSE) &amp; " " &amp; VLOOKUP($D17,Sheet3!$A$4:$H$99,5,FALSE) &amp; " " &amp; VLOOKUP($D17,Sheet3!$A$4:$H$99,6,FALSE)))</f>
        <v/>
      </c>
      <c r="G17" s="15" t="s">
        <v>26</v>
      </c>
      <c r="H17" s="14" t="str">
        <f>IF(G17="","",VLOOKUP(G17,Criteria!$D$2:$E$5,2,FALSE))</f>
        <v>-</v>
      </c>
      <c r="I17" s="15" t="s">
        <v>26</v>
      </c>
      <c r="J17" s="14" t="str">
        <f>IF(I17="","",VLOOKUP(I17,Criteria!$D$6:$E$9,2,FALSE))</f>
        <v>-</v>
      </c>
      <c r="K17" s="15" t="s">
        <v>26</v>
      </c>
      <c r="L17" s="14" t="str">
        <f>IF(K17="","",VLOOKUP(K17,Criteria!$D$10:$E$13,2,FALSE))</f>
        <v>-</v>
      </c>
      <c r="M17" s="15" t="s">
        <v>26</v>
      </c>
      <c r="N17" s="14" t="str">
        <f>IF(M17="","",VLOOKUP(M17,Criteria!$D$14:$E$21,2,FALSE))</f>
        <v>-</v>
      </c>
      <c r="O17" s="15" t="s">
        <v>26</v>
      </c>
      <c r="P17" s="14" t="str">
        <f>IF(O17="","",VLOOKUP(O17,Criteria!$D$22:$E$25,2,FALSE))</f>
        <v>-</v>
      </c>
      <c r="Q17" s="15" t="s">
        <v>26</v>
      </c>
      <c r="R17" s="14" t="str">
        <f>IF(Q17="","",VLOOKUP(Q17,Criteria!$D$26:$E$29,2,FALSE))</f>
        <v>-</v>
      </c>
      <c r="S17" s="15" t="s">
        <v>26</v>
      </c>
      <c r="T17" s="14" t="str">
        <f>IF(S17="","",VLOOKUP(S17,Criteria!$D$30:$E$33,2,FALSE))</f>
        <v>-</v>
      </c>
      <c r="U17" s="15" t="s">
        <v>26</v>
      </c>
      <c r="V17" s="14" t="str">
        <f>IF(U17="","",VLOOKUP(U17,Criteria!$D$34:$E$38,2,FALSE))</f>
        <v>-</v>
      </c>
      <c r="W17" s="15" t="s">
        <v>26</v>
      </c>
      <c r="X17" s="14" t="str">
        <f>IF(W17="","",VLOOKUP(W17,Criteria!$D$39:$E$42,2,FALSE))</f>
        <v>-</v>
      </c>
      <c r="Y17" s="15" t="s">
        <v>26</v>
      </c>
      <c r="Z17" s="14" t="str">
        <f>IF(Y17="","",VLOOKUP(Y17,Criteria!$D$43:$E$44,2,FALSE))</f>
        <v>-</v>
      </c>
      <c r="AA17" s="15">
        <f t="shared" si="1"/>
        <v>0</v>
      </c>
      <c r="AB17" s="15" t="s">
        <v>26</v>
      </c>
      <c r="AC17" s="15" t="s">
        <v>26</v>
      </c>
      <c r="AD17" s="15"/>
    </row>
    <row r="18" ht="28.5" customHeight="1">
      <c r="A18" s="21" t="s">
        <v>51</v>
      </c>
      <c r="B18" s="24">
        <f>VLOOKUP($A$2,Data!$B$2:$AK$99874,24,FALSE)</f>
        <v>10000</v>
      </c>
      <c r="C18" s="12"/>
      <c r="D18" s="23"/>
      <c r="E18" s="14" t="str">
        <f>IF($D18="","",VLOOKUP($D18,Sheet3!$A$4:$H$99,2,FALSE))</f>
        <v/>
      </c>
      <c r="F18" s="15" t="str">
        <f>IF($D18="","",(VLOOKUP($D18,Sheet3!$A$4:$H$99,4,FALSE) &amp; " " &amp; VLOOKUP($D18,Sheet3!$A$4:$H$99,5,FALSE) &amp; " " &amp; VLOOKUP($D18,Sheet3!$A$4:$H$99,6,FALSE)))</f>
        <v/>
      </c>
      <c r="G18" s="15" t="s">
        <v>26</v>
      </c>
      <c r="H18" s="14" t="str">
        <f>IF(G18="","",VLOOKUP(G18,Criteria!$D$2:$E$5,2,FALSE))</f>
        <v>-</v>
      </c>
      <c r="I18" s="15" t="s">
        <v>26</v>
      </c>
      <c r="J18" s="14" t="str">
        <f>IF(I18="","",VLOOKUP(I18,Criteria!$D$6:$E$9,2,FALSE))</f>
        <v>-</v>
      </c>
      <c r="K18" s="15" t="s">
        <v>26</v>
      </c>
      <c r="L18" s="14" t="str">
        <f>IF(K18="","",VLOOKUP(K18,Criteria!$D$10:$E$13,2,FALSE))</f>
        <v>-</v>
      </c>
      <c r="M18" s="15" t="s">
        <v>26</v>
      </c>
      <c r="N18" s="14" t="str">
        <f>IF(M18="","",VLOOKUP(M18,Criteria!$D$14:$E$21,2,FALSE))</f>
        <v>-</v>
      </c>
      <c r="O18" s="15" t="s">
        <v>26</v>
      </c>
      <c r="P18" s="14" t="str">
        <f>IF(O18="","",VLOOKUP(O18,Criteria!$D$22:$E$25,2,FALSE))</f>
        <v>-</v>
      </c>
      <c r="Q18" s="15" t="s">
        <v>26</v>
      </c>
      <c r="R18" s="14" t="str">
        <f>IF(Q18="","",VLOOKUP(Q18,Criteria!$D$26:$E$29,2,FALSE))</f>
        <v>-</v>
      </c>
      <c r="S18" s="15" t="s">
        <v>26</v>
      </c>
      <c r="T18" s="14" t="str">
        <f>IF(S18="","",VLOOKUP(S18,Criteria!$D$30:$E$33,2,FALSE))</f>
        <v>-</v>
      </c>
      <c r="U18" s="15" t="s">
        <v>26</v>
      </c>
      <c r="V18" s="14" t="str">
        <f>IF(U18="","",VLOOKUP(U18,Criteria!$D$34:$E$38,2,FALSE))</f>
        <v>-</v>
      </c>
      <c r="W18" s="15" t="s">
        <v>26</v>
      </c>
      <c r="X18" s="14" t="str">
        <f>IF(W18="","",VLOOKUP(W18,Criteria!$D$39:$E$42,2,FALSE))</f>
        <v>-</v>
      </c>
      <c r="Y18" s="15" t="s">
        <v>26</v>
      </c>
      <c r="Z18" s="14" t="str">
        <f>IF(Y18="","",VLOOKUP(Y18,Criteria!$D$43:$E$44,2,FALSE))</f>
        <v>-</v>
      </c>
      <c r="AA18" s="15">
        <f t="shared" si="1"/>
        <v>0</v>
      </c>
      <c r="AB18" s="15" t="s">
        <v>26</v>
      </c>
      <c r="AC18" s="15" t="s">
        <v>26</v>
      </c>
      <c r="AD18" s="15"/>
    </row>
    <row r="19" ht="28.5" customHeight="1">
      <c r="A19" s="21" t="s">
        <v>52</v>
      </c>
      <c r="B19" s="25" t="str">
        <f>VLOOKUP($A$2,Data!$B$2:$AK$99874,25,FALSE)</f>
        <v>มีชีวิตอยู่</v>
      </c>
      <c r="C19" s="12"/>
      <c r="D19" s="23"/>
      <c r="E19" s="14" t="str">
        <f>IF($D19="","",VLOOKUP($D19,Sheet3!$A$4:$H$99,2,FALSE))</f>
        <v/>
      </c>
      <c r="F19" s="15" t="str">
        <f>IF($D19="","",(VLOOKUP($D19,Sheet3!$A$4:$H$99,4,FALSE) &amp; " " &amp; VLOOKUP($D19,Sheet3!$A$4:$H$99,5,FALSE) &amp; " " &amp; VLOOKUP($D19,Sheet3!$A$4:$H$99,6,FALSE)))</f>
        <v/>
      </c>
      <c r="G19" s="15" t="s">
        <v>26</v>
      </c>
      <c r="H19" s="14" t="str">
        <f>IF(G19="","",VLOOKUP(G19,Criteria!$D$2:$E$5,2,FALSE))</f>
        <v>-</v>
      </c>
      <c r="I19" s="15" t="s">
        <v>26</v>
      </c>
      <c r="J19" s="14" t="str">
        <f>IF(I19="","",VLOOKUP(I19,Criteria!$D$6:$E$9,2,FALSE))</f>
        <v>-</v>
      </c>
      <c r="K19" s="15" t="s">
        <v>26</v>
      </c>
      <c r="L19" s="14" t="str">
        <f>IF(K19="","",VLOOKUP(K19,Criteria!$D$10:$E$13,2,FALSE))</f>
        <v>-</v>
      </c>
      <c r="M19" s="15" t="s">
        <v>26</v>
      </c>
      <c r="N19" s="14" t="str">
        <f>IF(M19="","",VLOOKUP(M19,Criteria!$D$14:$E$21,2,FALSE))</f>
        <v>-</v>
      </c>
      <c r="O19" s="15" t="s">
        <v>26</v>
      </c>
      <c r="P19" s="14" t="str">
        <f>IF(O19="","",VLOOKUP(O19,Criteria!$D$22:$E$25,2,FALSE))</f>
        <v>-</v>
      </c>
      <c r="Q19" s="15" t="s">
        <v>26</v>
      </c>
      <c r="R19" s="14" t="str">
        <f>IF(Q19="","",VLOOKUP(Q19,Criteria!$D$26:$E$29,2,FALSE))</f>
        <v>-</v>
      </c>
      <c r="S19" s="15" t="s">
        <v>26</v>
      </c>
      <c r="T19" s="14" t="str">
        <f>IF(S19="","",VLOOKUP(S19,Criteria!$D$30:$E$33,2,FALSE))</f>
        <v>-</v>
      </c>
      <c r="U19" s="15" t="s">
        <v>26</v>
      </c>
      <c r="V19" s="14" t="str">
        <f>IF(U19="","",VLOOKUP(U19,Criteria!$D$34:$E$38,2,FALSE))</f>
        <v>-</v>
      </c>
      <c r="W19" s="15" t="s">
        <v>26</v>
      </c>
      <c r="X19" s="14" t="str">
        <f>IF(W19="","",VLOOKUP(W19,Criteria!$D$39:$E$42,2,FALSE))</f>
        <v>-</v>
      </c>
      <c r="Y19" s="15" t="s">
        <v>26</v>
      </c>
      <c r="Z19" s="14" t="str">
        <f>IF(Y19="","",VLOOKUP(Y19,Criteria!$D$43:$E$44,2,FALSE))</f>
        <v>-</v>
      </c>
      <c r="AA19" s="15">
        <f t="shared" si="1"/>
        <v>0</v>
      </c>
      <c r="AB19" s="15" t="s">
        <v>26</v>
      </c>
      <c r="AC19" s="15" t="s">
        <v>26</v>
      </c>
      <c r="AD19" s="15"/>
    </row>
    <row r="20" ht="28.5" customHeight="1">
      <c r="A20" s="21" t="s">
        <v>53</v>
      </c>
      <c r="B20" s="25" t="str">
        <f>VLOOKUP($A$2,Data!$B$2:$AK$99874,26,FALSE)</f>
        <v>อยู่ด้วยกัน</v>
      </c>
      <c r="C20" s="12"/>
      <c r="D20" s="23"/>
      <c r="E20" s="14" t="str">
        <f>IF($D20="","",VLOOKUP($D20,Sheet3!$A$4:$H$99,2,FALSE))</f>
        <v/>
      </c>
      <c r="F20" s="15" t="str">
        <f>IF($D20="","",(VLOOKUP($D20,Sheet3!$A$4:$H$99,4,FALSE) &amp; " " &amp; VLOOKUP($D20,Sheet3!$A$4:$H$99,5,FALSE) &amp; " " &amp; VLOOKUP($D20,Sheet3!$A$4:$H$99,6,FALSE)))</f>
        <v/>
      </c>
      <c r="G20" s="15" t="s">
        <v>26</v>
      </c>
      <c r="H20" s="14" t="str">
        <f>IF(G20="","",VLOOKUP(G20,Criteria!$D$2:$E$5,2,FALSE))</f>
        <v>-</v>
      </c>
      <c r="I20" s="15" t="s">
        <v>26</v>
      </c>
      <c r="J20" s="14" t="str">
        <f>IF(I20="","",VLOOKUP(I20,Criteria!$D$6:$E$9,2,FALSE))</f>
        <v>-</v>
      </c>
      <c r="K20" s="15" t="s">
        <v>26</v>
      </c>
      <c r="L20" s="14" t="str">
        <f>IF(K20="","",VLOOKUP(K20,Criteria!$D$10:$E$13,2,FALSE))</f>
        <v>-</v>
      </c>
      <c r="M20" s="15" t="s">
        <v>26</v>
      </c>
      <c r="N20" s="14" t="str">
        <f>IF(M20="","",VLOOKUP(M20,Criteria!$D$14:$E$21,2,FALSE))</f>
        <v>-</v>
      </c>
      <c r="O20" s="15" t="s">
        <v>26</v>
      </c>
      <c r="P20" s="14" t="str">
        <f>IF(O20="","",VLOOKUP(O20,Criteria!$D$22:$E$25,2,FALSE))</f>
        <v>-</v>
      </c>
      <c r="Q20" s="15" t="s">
        <v>26</v>
      </c>
      <c r="R20" s="14" t="str">
        <f>IF(Q20="","",VLOOKUP(Q20,Criteria!$D$26:$E$29,2,FALSE))</f>
        <v>-</v>
      </c>
      <c r="S20" s="15" t="s">
        <v>26</v>
      </c>
      <c r="T20" s="14" t="str">
        <f>IF(S20="","",VLOOKUP(S20,Criteria!$D$30:$E$33,2,FALSE))</f>
        <v>-</v>
      </c>
      <c r="U20" s="15" t="s">
        <v>26</v>
      </c>
      <c r="V20" s="14" t="str">
        <f>IF(U20="","",VLOOKUP(U20,Criteria!$D$34:$E$38,2,FALSE))</f>
        <v>-</v>
      </c>
      <c r="W20" s="15" t="s">
        <v>26</v>
      </c>
      <c r="X20" s="14" t="str">
        <f>IF(W20="","",VLOOKUP(W20,Criteria!$D$39:$E$42,2,FALSE))</f>
        <v>-</v>
      </c>
      <c r="Y20" s="15" t="s">
        <v>26</v>
      </c>
      <c r="Z20" s="14" t="str">
        <f>IF(Y20="","",VLOOKUP(Y20,Criteria!$D$43:$E$44,2,FALSE))</f>
        <v>-</v>
      </c>
      <c r="AA20" s="15">
        <f t="shared" si="1"/>
        <v>0</v>
      </c>
      <c r="AB20" s="15" t="s">
        <v>26</v>
      </c>
      <c r="AC20" s="15" t="s">
        <v>26</v>
      </c>
      <c r="AD20" s="15"/>
    </row>
    <row r="21" ht="28.5" customHeight="1">
      <c r="A21" s="21" t="s">
        <v>54</v>
      </c>
      <c r="B21" s="25" t="str">
        <f>VLOOKUP($A$2,Data!$B$2:$AK$99874,27,FALSE)</f>
        <v>มารดา</v>
      </c>
      <c r="C21" s="12"/>
      <c r="D21" s="23"/>
      <c r="E21" s="14" t="str">
        <f>IF($D21="","",VLOOKUP($D21,Sheet3!$A$4:$H$99,2,FALSE))</f>
        <v/>
      </c>
      <c r="F21" s="15" t="str">
        <f>IF($D21="","",(VLOOKUP($D21,Sheet3!$A$4:$H$99,4,FALSE) &amp; " " &amp; VLOOKUP($D21,Sheet3!$A$4:$H$99,5,FALSE) &amp; " " &amp; VLOOKUP($D21,Sheet3!$A$4:$H$99,6,FALSE)))</f>
        <v/>
      </c>
      <c r="G21" s="15" t="s">
        <v>26</v>
      </c>
      <c r="H21" s="14" t="str">
        <f>IF(G21="","",VLOOKUP(G21,Criteria!$D$2:$E$5,2,FALSE))</f>
        <v>-</v>
      </c>
      <c r="I21" s="15" t="s">
        <v>26</v>
      </c>
      <c r="J21" s="14" t="str">
        <f>IF(I21="","",VLOOKUP(I21,Criteria!$D$6:$E$9,2,FALSE))</f>
        <v>-</v>
      </c>
      <c r="K21" s="15" t="s">
        <v>26</v>
      </c>
      <c r="L21" s="14" t="str">
        <f>IF(K21="","",VLOOKUP(K21,Criteria!$D$10:$E$13,2,FALSE))</f>
        <v>-</v>
      </c>
      <c r="M21" s="15" t="s">
        <v>26</v>
      </c>
      <c r="N21" s="14" t="str">
        <f>IF(M21="","",VLOOKUP(M21,Criteria!$D$14:$E$21,2,FALSE))</f>
        <v>-</v>
      </c>
      <c r="O21" s="15" t="s">
        <v>26</v>
      </c>
      <c r="P21" s="14" t="str">
        <f>IF(O21="","",VLOOKUP(O21,Criteria!$D$22:$E$25,2,FALSE))</f>
        <v>-</v>
      </c>
      <c r="Q21" s="15" t="s">
        <v>26</v>
      </c>
      <c r="R21" s="14" t="str">
        <f>IF(Q21="","",VLOOKUP(Q21,Criteria!$D$26:$E$29,2,FALSE))</f>
        <v>-</v>
      </c>
      <c r="S21" s="15" t="s">
        <v>26</v>
      </c>
      <c r="T21" s="14" t="str">
        <f>IF(S21="","",VLOOKUP(S21,Criteria!$D$30:$E$33,2,FALSE))</f>
        <v>-</v>
      </c>
      <c r="U21" s="15" t="s">
        <v>26</v>
      </c>
      <c r="V21" s="14" t="str">
        <f>IF(U21="","",VLOOKUP(U21,Criteria!$D$34:$E$38,2,FALSE))</f>
        <v>-</v>
      </c>
      <c r="W21" s="15" t="s">
        <v>26</v>
      </c>
      <c r="X21" s="14" t="str">
        <f>IF(W21="","",VLOOKUP(W21,Criteria!$D$39:$E$42,2,FALSE))</f>
        <v>-</v>
      </c>
      <c r="Y21" s="15" t="s">
        <v>26</v>
      </c>
      <c r="Z21" s="14" t="str">
        <f>IF(Y21="","",VLOOKUP(Y21,Criteria!$D$43:$E$44,2,FALSE))</f>
        <v>-</v>
      </c>
      <c r="AA21" s="15">
        <f t="shared" si="1"/>
        <v>0</v>
      </c>
      <c r="AB21" s="15" t="s">
        <v>26</v>
      </c>
      <c r="AC21" s="15" t="s">
        <v>26</v>
      </c>
      <c r="AD21" s="15"/>
    </row>
    <row r="22" ht="28.5" customHeight="1">
      <c r="A22" s="21" t="s">
        <v>55</v>
      </c>
      <c r="B22" s="25" t="str">
        <f>VLOOKUP($A$2,Data!$B$2:$AK$99874,28,FALSE)</f>
        <v/>
      </c>
      <c r="C22" s="12"/>
      <c r="D22" s="23"/>
      <c r="E22" s="14" t="str">
        <f>IF($D22="","",VLOOKUP($D22,Sheet3!$A$4:$H$99,2,FALSE))</f>
        <v/>
      </c>
      <c r="F22" s="15" t="str">
        <f>IF($D22="","",(VLOOKUP($D22,Sheet3!$A$4:$H$99,4,FALSE) &amp; " " &amp; VLOOKUP($D22,Sheet3!$A$4:$H$99,5,FALSE) &amp; " " &amp; VLOOKUP($D22,Sheet3!$A$4:$H$99,6,FALSE)))</f>
        <v/>
      </c>
      <c r="G22" s="15" t="s">
        <v>26</v>
      </c>
      <c r="H22" s="14" t="str">
        <f>IF(G22="","",VLOOKUP(G22,Criteria!$D$2:$E$5,2,FALSE))</f>
        <v>-</v>
      </c>
      <c r="I22" s="15" t="s">
        <v>26</v>
      </c>
      <c r="J22" s="14" t="str">
        <f>IF(I22="","",VLOOKUP(I22,Criteria!$D$6:$E$9,2,FALSE))</f>
        <v>-</v>
      </c>
      <c r="K22" s="15" t="s">
        <v>26</v>
      </c>
      <c r="L22" s="14" t="str">
        <f>IF(K22="","",VLOOKUP(K22,Criteria!$D$10:$E$13,2,FALSE))</f>
        <v>-</v>
      </c>
      <c r="M22" s="15" t="s">
        <v>26</v>
      </c>
      <c r="N22" s="14" t="str">
        <f>IF(M22="","",VLOOKUP(M22,Criteria!$D$14:$E$21,2,FALSE))</f>
        <v>-</v>
      </c>
      <c r="O22" s="15" t="s">
        <v>26</v>
      </c>
      <c r="P22" s="14" t="str">
        <f>IF(O22="","",VLOOKUP(O22,Criteria!$D$22:$E$25,2,FALSE))</f>
        <v>-</v>
      </c>
      <c r="Q22" s="15" t="s">
        <v>26</v>
      </c>
      <c r="R22" s="14" t="str">
        <f>IF(Q22="","",VLOOKUP(Q22,Criteria!$D$26:$E$29,2,FALSE))</f>
        <v>-</v>
      </c>
      <c r="S22" s="15" t="s">
        <v>26</v>
      </c>
      <c r="T22" s="14" t="str">
        <f>IF(S22="","",VLOOKUP(S22,Criteria!$D$30:$E$33,2,FALSE))</f>
        <v>-</v>
      </c>
      <c r="U22" s="15" t="s">
        <v>26</v>
      </c>
      <c r="V22" s="14" t="str">
        <f>IF(U22="","",VLOOKUP(U22,Criteria!$D$34:$E$38,2,FALSE))</f>
        <v>-</v>
      </c>
      <c r="W22" s="15" t="s">
        <v>26</v>
      </c>
      <c r="X22" s="14" t="str">
        <f>IF(W22="","",VLOOKUP(W22,Criteria!$D$39:$E$42,2,FALSE))</f>
        <v>-</v>
      </c>
      <c r="Y22" s="15" t="s">
        <v>26</v>
      </c>
      <c r="Z22" s="14" t="str">
        <f>IF(Y22="","",VLOOKUP(Y22,Criteria!$D$43:$E$44,2,FALSE))</f>
        <v>-</v>
      </c>
      <c r="AA22" s="15">
        <f t="shared" si="1"/>
        <v>0</v>
      </c>
      <c r="AB22" s="15" t="s">
        <v>26</v>
      </c>
      <c r="AC22" s="15" t="s">
        <v>26</v>
      </c>
      <c r="AD22" s="15"/>
    </row>
    <row r="23" ht="28.5" customHeight="1">
      <c r="A23" s="21" t="s">
        <v>56</v>
      </c>
      <c r="B23" s="25" t="str">
        <f>VLOOKUP($A$2,Data!$B$2:$AK$99874,29,FALSE)</f>
        <v/>
      </c>
      <c r="C23" s="12"/>
      <c r="D23" s="23"/>
      <c r="E23" s="14" t="str">
        <f>IF($D23="","",VLOOKUP($D23,Sheet3!$A$4:$H$99,2,FALSE))</f>
        <v/>
      </c>
      <c r="F23" s="15" t="str">
        <f>IF($D23="","",(VLOOKUP($D23,Sheet3!$A$4:$H$99,4,FALSE) &amp; " " &amp; VLOOKUP($D23,Sheet3!$A$4:$H$99,5,FALSE) &amp; " " &amp; VLOOKUP($D23,Sheet3!$A$4:$H$99,6,FALSE)))</f>
        <v/>
      </c>
      <c r="G23" s="15" t="s">
        <v>26</v>
      </c>
      <c r="H23" s="14" t="str">
        <f>IF(G23="","",VLOOKUP(G23,Criteria!$D$2:$E$5,2,FALSE))</f>
        <v>-</v>
      </c>
      <c r="I23" s="15" t="s">
        <v>26</v>
      </c>
      <c r="J23" s="14" t="str">
        <f>IF(I23="","",VLOOKUP(I23,Criteria!$D$6:$E$9,2,FALSE))</f>
        <v>-</v>
      </c>
      <c r="K23" s="15" t="s">
        <v>26</v>
      </c>
      <c r="L23" s="14" t="str">
        <f>IF(K23="","",VLOOKUP(K23,Criteria!$D$10:$E$13,2,FALSE))</f>
        <v>-</v>
      </c>
      <c r="M23" s="15" t="s">
        <v>26</v>
      </c>
      <c r="N23" s="14" t="str">
        <f>IF(M23="","",VLOOKUP(M23,Criteria!$D$14:$E$21,2,FALSE))</f>
        <v>-</v>
      </c>
      <c r="O23" s="15" t="s">
        <v>26</v>
      </c>
      <c r="P23" s="14" t="str">
        <f>IF(O23="","",VLOOKUP(O23,Criteria!$D$22:$E$25,2,FALSE))</f>
        <v>-</v>
      </c>
      <c r="Q23" s="15" t="s">
        <v>26</v>
      </c>
      <c r="R23" s="14" t="str">
        <f>IF(Q23="","",VLOOKUP(Q23,Criteria!$D$26:$E$29,2,FALSE))</f>
        <v>-</v>
      </c>
      <c r="S23" s="15" t="s">
        <v>26</v>
      </c>
      <c r="T23" s="14" t="str">
        <f>IF(S23="","",VLOOKUP(S23,Criteria!$D$30:$E$33,2,FALSE))</f>
        <v>-</v>
      </c>
      <c r="U23" s="15" t="s">
        <v>26</v>
      </c>
      <c r="V23" s="14" t="str">
        <f>IF(U23="","",VLOOKUP(U23,Criteria!$D$34:$E$38,2,FALSE))</f>
        <v>-</v>
      </c>
      <c r="W23" s="15" t="s">
        <v>26</v>
      </c>
      <c r="X23" s="14" t="str">
        <f>IF(W23="","",VLOOKUP(W23,Criteria!$D$39:$E$42,2,FALSE))</f>
        <v>-</v>
      </c>
      <c r="Y23" s="15" t="s">
        <v>26</v>
      </c>
      <c r="Z23" s="14" t="str">
        <f>IF(Y23="","",VLOOKUP(Y23,Criteria!$D$43:$E$44,2,FALSE))</f>
        <v>-</v>
      </c>
      <c r="AA23" s="15">
        <f t="shared" si="1"/>
        <v>0</v>
      </c>
      <c r="AB23" s="15" t="s">
        <v>26</v>
      </c>
      <c r="AC23" s="15" t="s">
        <v>26</v>
      </c>
      <c r="AD23" s="15"/>
    </row>
    <row r="24" ht="28.5" customHeight="1">
      <c r="A24" s="21" t="s">
        <v>57</v>
      </c>
      <c r="B24" s="24" t="str">
        <f>VLOOKUP($A$2,Data!$B$2:$AK$99874,30,FALSE)</f>
        <v/>
      </c>
      <c r="C24" s="12"/>
      <c r="D24" s="23"/>
      <c r="E24" s="14" t="str">
        <f>IF($D24="","",VLOOKUP($D24,Sheet3!$A$4:$H$99,2,FALSE))</f>
        <v/>
      </c>
      <c r="F24" s="15" t="str">
        <f>IF($D24="","",(VLOOKUP($D24,Sheet3!$A$4:$H$99,4,FALSE) &amp; " " &amp; VLOOKUP($D24,Sheet3!$A$4:$H$99,5,FALSE) &amp; " " &amp; VLOOKUP($D24,Sheet3!$A$4:$H$99,6,FALSE)))</f>
        <v/>
      </c>
      <c r="G24" s="15" t="s">
        <v>26</v>
      </c>
      <c r="H24" s="14" t="str">
        <f>IF(G24="","",VLOOKUP(G24,Criteria!$D$2:$E$5,2,FALSE))</f>
        <v>-</v>
      </c>
      <c r="I24" s="15" t="s">
        <v>26</v>
      </c>
      <c r="J24" s="14" t="str">
        <f>IF(I24="","",VLOOKUP(I24,Criteria!$D$6:$E$9,2,FALSE))</f>
        <v>-</v>
      </c>
      <c r="K24" s="15" t="s">
        <v>26</v>
      </c>
      <c r="L24" s="14" t="str">
        <f>IF(K24="","",VLOOKUP(K24,Criteria!$D$10:$E$13,2,FALSE))</f>
        <v>-</v>
      </c>
      <c r="M24" s="15" t="s">
        <v>26</v>
      </c>
      <c r="N24" s="14" t="str">
        <f>IF(M24="","",VLOOKUP(M24,Criteria!$D$14:$E$21,2,FALSE))</f>
        <v>-</v>
      </c>
      <c r="O24" s="15" t="s">
        <v>26</v>
      </c>
      <c r="P24" s="14" t="str">
        <f>IF(O24="","",VLOOKUP(O24,Criteria!$D$22:$E$25,2,FALSE))</f>
        <v>-</v>
      </c>
      <c r="Q24" s="15" t="s">
        <v>26</v>
      </c>
      <c r="R24" s="14" t="str">
        <f>IF(Q24="","",VLOOKUP(Q24,Criteria!$D$26:$E$29,2,FALSE))</f>
        <v>-</v>
      </c>
      <c r="S24" s="15" t="s">
        <v>26</v>
      </c>
      <c r="T24" s="14" t="str">
        <f>IF(S24="","",VLOOKUP(S24,Criteria!$D$30:$E$33,2,FALSE))</f>
        <v>-</v>
      </c>
      <c r="U24" s="15" t="s">
        <v>26</v>
      </c>
      <c r="V24" s="14" t="str">
        <f>IF(U24="","",VLOOKUP(U24,Criteria!$D$34:$E$38,2,FALSE))</f>
        <v>-</v>
      </c>
      <c r="W24" s="15" t="s">
        <v>26</v>
      </c>
      <c r="X24" s="14" t="str">
        <f>IF(W24="","",VLOOKUP(W24,Criteria!$D$39:$E$42,2,FALSE))</f>
        <v>-</v>
      </c>
      <c r="Y24" s="15" t="s">
        <v>26</v>
      </c>
      <c r="Z24" s="14" t="str">
        <f>IF(Y24="","",VLOOKUP(Y24,Criteria!$D$43:$E$44,2,FALSE))</f>
        <v>-</v>
      </c>
      <c r="AA24" s="15">
        <f t="shared" si="1"/>
        <v>0</v>
      </c>
      <c r="AB24" s="15" t="s">
        <v>26</v>
      </c>
      <c r="AC24" s="15" t="s">
        <v>26</v>
      </c>
      <c r="AD24" s="15"/>
    </row>
    <row r="25" ht="28.5" customHeight="1">
      <c r="A25" s="21" t="s">
        <v>58</v>
      </c>
      <c r="B25" s="25" t="str">
        <f>VLOOKUP($A$2,Data!$B$2:$AK$99874,31,FALSE)</f>
        <v/>
      </c>
      <c r="C25" s="12"/>
      <c r="D25" s="23"/>
      <c r="E25" s="14" t="str">
        <f>IF($D25="","",VLOOKUP($D25,Sheet3!$A$4:$H$99,2,FALSE))</f>
        <v/>
      </c>
      <c r="F25" s="15" t="str">
        <f>IF($D25="","",(VLOOKUP($D25,Sheet3!$A$4:$H$99,4,FALSE) &amp; " " &amp; VLOOKUP($D25,Sheet3!$A$4:$H$99,5,FALSE) &amp; " " &amp; VLOOKUP($D25,Sheet3!$A$4:$H$99,6,FALSE)))</f>
        <v/>
      </c>
      <c r="G25" s="15" t="s">
        <v>26</v>
      </c>
      <c r="H25" s="14" t="str">
        <f>IF(G25="","",VLOOKUP(G25,Criteria!$D$2:$E$5,2,FALSE))</f>
        <v>-</v>
      </c>
      <c r="I25" s="15" t="s">
        <v>26</v>
      </c>
      <c r="J25" s="14" t="str">
        <f>IF(I25="","",VLOOKUP(I25,Criteria!$D$6:$E$9,2,FALSE))</f>
        <v>-</v>
      </c>
      <c r="K25" s="15" t="s">
        <v>26</v>
      </c>
      <c r="L25" s="14" t="str">
        <f>IF(K25="","",VLOOKUP(K25,Criteria!$D$10:$E$13,2,FALSE))</f>
        <v>-</v>
      </c>
      <c r="M25" s="15" t="s">
        <v>26</v>
      </c>
      <c r="N25" s="14" t="str">
        <f>IF(M25="","",VLOOKUP(M25,Criteria!$D$14:$E$21,2,FALSE))</f>
        <v>-</v>
      </c>
      <c r="O25" s="15" t="s">
        <v>26</v>
      </c>
      <c r="P25" s="14" t="str">
        <f>IF(O25="","",VLOOKUP(O25,Criteria!$D$22:$E$25,2,FALSE))</f>
        <v>-</v>
      </c>
      <c r="Q25" s="15" t="s">
        <v>26</v>
      </c>
      <c r="R25" s="14" t="str">
        <f>IF(Q25="","",VLOOKUP(Q25,Criteria!$D$26:$E$29,2,FALSE))</f>
        <v>-</v>
      </c>
      <c r="S25" s="15" t="s">
        <v>26</v>
      </c>
      <c r="T25" s="14" t="str">
        <f>IF(S25="","",VLOOKUP(S25,Criteria!$D$30:$E$33,2,FALSE))</f>
        <v>-</v>
      </c>
      <c r="U25" s="15" t="s">
        <v>26</v>
      </c>
      <c r="V25" s="14" t="str">
        <f>IF(U25="","",VLOOKUP(U25,Criteria!$D$34:$E$38,2,FALSE))</f>
        <v>-</v>
      </c>
      <c r="W25" s="15" t="s">
        <v>26</v>
      </c>
      <c r="X25" s="14" t="str">
        <f>IF(W25="","",VLOOKUP(W25,Criteria!$D$39:$E$42,2,FALSE))</f>
        <v>-</v>
      </c>
      <c r="Y25" s="15" t="s">
        <v>26</v>
      </c>
      <c r="Z25" s="14" t="str">
        <f>IF(Y25="","",VLOOKUP(Y25,Criteria!$D$43:$E$44,2,FALSE))</f>
        <v>-</v>
      </c>
      <c r="AA25" s="15">
        <f t="shared" si="1"/>
        <v>0</v>
      </c>
      <c r="AB25" s="15" t="s">
        <v>26</v>
      </c>
      <c r="AC25" s="15" t="s">
        <v>26</v>
      </c>
      <c r="AD25" s="15"/>
    </row>
    <row r="26" ht="28.5" customHeight="1">
      <c r="A26" s="21" t="s">
        <v>59</v>
      </c>
      <c r="B26" s="25" t="str">
        <f>VLOOKUP($A$2,Data!$B$2:$AK$99874,32,FALSE)</f>
        <v/>
      </c>
      <c r="C26" s="12"/>
      <c r="D26" s="23"/>
      <c r="E26" s="14" t="str">
        <f>IF($D26="","",VLOOKUP($D26,Sheet3!$A$4:$H$99,2,FALSE))</f>
        <v/>
      </c>
      <c r="F26" s="15" t="str">
        <f>IF($D26="","",(VLOOKUP($D26,Sheet3!$A$4:$H$99,4,FALSE) &amp; " " &amp; VLOOKUP($D26,Sheet3!$A$4:$H$99,5,FALSE) &amp; " " &amp; VLOOKUP($D26,Sheet3!$A$4:$H$99,6,FALSE)))</f>
        <v/>
      </c>
      <c r="G26" s="15" t="s">
        <v>26</v>
      </c>
      <c r="H26" s="14" t="str">
        <f>IF(G26="","",VLOOKUP(G26,Criteria!$D$2:$E$5,2,FALSE))</f>
        <v>-</v>
      </c>
      <c r="I26" s="15" t="s">
        <v>26</v>
      </c>
      <c r="J26" s="14" t="str">
        <f>IF(I26="","",VLOOKUP(I26,Criteria!$D$6:$E$9,2,FALSE))</f>
        <v>-</v>
      </c>
      <c r="K26" s="15" t="s">
        <v>26</v>
      </c>
      <c r="L26" s="14" t="str">
        <f>IF(K26="","",VLOOKUP(K26,Criteria!$D$10:$E$13,2,FALSE))</f>
        <v>-</v>
      </c>
      <c r="M26" s="15" t="s">
        <v>26</v>
      </c>
      <c r="N26" s="14" t="str">
        <f>IF(M26="","",VLOOKUP(M26,Criteria!$D$14:$E$21,2,FALSE))</f>
        <v>-</v>
      </c>
      <c r="O26" s="15" t="s">
        <v>26</v>
      </c>
      <c r="P26" s="14" t="str">
        <f>IF(O26="","",VLOOKUP(O26,Criteria!$D$22:$E$25,2,FALSE))</f>
        <v>-</v>
      </c>
      <c r="Q26" s="15" t="s">
        <v>26</v>
      </c>
      <c r="R26" s="14" t="str">
        <f>IF(Q26="","",VLOOKUP(Q26,Criteria!$D$26:$E$29,2,FALSE))</f>
        <v>-</v>
      </c>
      <c r="S26" s="15" t="s">
        <v>26</v>
      </c>
      <c r="T26" s="14" t="str">
        <f>IF(S26="","",VLOOKUP(S26,Criteria!$D$30:$E$33,2,FALSE))</f>
        <v>-</v>
      </c>
      <c r="U26" s="15" t="s">
        <v>26</v>
      </c>
      <c r="V26" s="14" t="str">
        <f>IF(U26="","",VLOOKUP(U26,Criteria!$D$34:$E$38,2,FALSE))</f>
        <v>-</v>
      </c>
      <c r="W26" s="15" t="s">
        <v>26</v>
      </c>
      <c r="X26" s="14" t="str">
        <f>IF(W26="","",VLOOKUP(W26,Criteria!$D$39:$E$42,2,FALSE))</f>
        <v>-</v>
      </c>
      <c r="Y26" s="15" t="s">
        <v>26</v>
      </c>
      <c r="Z26" s="14" t="str">
        <f>IF(Y26="","",VLOOKUP(Y26,Criteria!$D$43:$E$44,2,FALSE))</f>
        <v>-</v>
      </c>
      <c r="AA26" s="15">
        <f t="shared" si="1"/>
        <v>0</v>
      </c>
      <c r="AB26" s="15" t="s">
        <v>26</v>
      </c>
      <c r="AC26" s="15" t="s">
        <v>26</v>
      </c>
      <c r="AD26" s="15"/>
    </row>
    <row r="27" ht="28.5" customHeight="1">
      <c r="A27" s="21" t="s">
        <v>60</v>
      </c>
      <c r="B27" s="25" t="str">
        <f>VLOOKUP($A$2,Data!$B$2:$AK$99874,33,FALSE)</f>
        <v/>
      </c>
      <c r="C27" s="12"/>
      <c r="D27" s="23"/>
      <c r="E27" s="14" t="str">
        <f>IF($D27="","",VLOOKUP($D27,Sheet3!$A$4:$H$99,2,FALSE))</f>
        <v/>
      </c>
      <c r="F27" s="15" t="str">
        <f>IF($D27="","",(VLOOKUP($D27,Sheet3!$A$4:$H$99,4,FALSE) &amp; " " &amp; VLOOKUP($D27,Sheet3!$A$4:$H$99,5,FALSE) &amp; " " &amp; VLOOKUP($D27,Sheet3!$A$4:$H$99,6,FALSE)))</f>
        <v/>
      </c>
      <c r="G27" s="15" t="s">
        <v>26</v>
      </c>
      <c r="H27" s="14" t="str">
        <f>IF(G27="","",VLOOKUP(G27,Criteria!$D$2:$E$5,2,FALSE))</f>
        <v>-</v>
      </c>
      <c r="I27" s="15" t="s">
        <v>26</v>
      </c>
      <c r="J27" s="14" t="str">
        <f>IF(I27="","",VLOOKUP(I27,Criteria!$D$6:$E$9,2,FALSE))</f>
        <v>-</v>
      </c>
      <c r="K27" s="15" t="s">
        <v>26</v>
      </c>
      <c r="L27" s="14" t="str">
        <f>IF(K27="","",VLOOKUP(K27,Criteria!$D$10:$E$13,2,FALSE))</f>
        <v>-</v>
      </c>
      <c r="M27" s="15" t="s">
        <v>26</v>
      </c>
      <c r="N27" s="14" t="str">
        <f>IF(M27="","",VLOOKUP(M27,Criteria!$D$14:$E$21,2,FALSE))</f>
        <v>-</v>
      </c>
      <c r="O27" s="15" t="s">
        <v>26</v>
      </c>
      <c r="P27" s="14" t="str">
        <f>IF(O27="","",VLOOKUP(O27,Criteria!$D$22:$E$25,2,FALSE))</f>
        <v>-</v>
      </c>
      <c r="Q27" s="15" t="s">
        <v>26</v>
      </c>
      <c r="R27" s="14" t="str">
        <f>IF(Q27="","",VLOOKUP(Q27,Criteria!$D$26:$E$29,2,FALSE))</f>
        <v>-</v>
      </c>
      <c r="S27" s="15" t="s">
        <v>26</v>
      </c>
      <c r="T27" s="14" t="str">
        <f>IF(S27="","",VLOOKUP(S27,Criteria!$D$30:$E$33,2,FALSE))</f>
        <v>-</v>
      </c>
      <c r="U27" s="15" t="s">
        <v>26</v>
      </c>
      <c r="V27" s="14" t="str">
        <f>IF(U27="","",VLOOKUP(U27,Criteria!$D$34:$E$38,2,FALSE))</f>
        <v>-</v>
      </c>
      <c r="W27" s="15" t="s">
        <v>26</v>
      </c>
      <c r="X27" s="14" t="str">
        <f>IF(W27="","",VLOOKUP(W27,Criteria!$D$39:$E$42,2,FALSE))</f>
        <v>-</v>
      </c>
      <c r="Y27" s="15" t="s">
        <v>26</v>
      </c>
      <c r="Z27" s="14" t="str">
        <f>IF(Y27="","",VLOOKUP(Y27,Criteria!$D$43:$E$44,2,FALSE))</f>
        <v>-</v>
      </c>
      <c r="AA27" s="15">
        <f t="shared" si="1"/>
        <v>0</v>
      </c>
      <c r="AB27" s="15" t="s">
        <v>26</v>
      </c>
      <c r="AC27" s="15" t="s">
        <v>26</v>
      </c>
      <c r="AD27" s="15"/>
    </row>
    <row r="28" ht="28.5" customHeight="1">
      <c r="A28" s="21" t="s">
        <v>61</v>
      </c>
      <c r="B28" s="25" t="str">
        <f>VLOOKUP($A$2,Data!$B$2:$AK$99874,34,FALSE)</f>
        <v/>
      </c>
      <c r="C28" s="12"/>
      <c r="D28" s="2"/>
      <c r="E28" s="2"/>
      <c r="F28" s="12"/>
      <c r="G28" s="12"/>
      <c r="H28" s="2"/>
      <c r="I28" s="12"/>
      <c r="J28" s="2"/>
      <c r="K28" s="12"/>
      <c r="L28" s="2"/>
      <c r="M28" s="12"/>
      <c r="N28" s="2"/>
      <c r="O28" s="12"/>
      <c r="P28" s="12"/>
      <c r="Q28" s="12"/>
      <c r="R28" s="2"/>
      <c r="S28" s="12"/>
      <c r="T28" s="2"/>
      <c r="U28" s="12"/>
      <c r="V28" s="2"/>
      <c r="W28" s="12"/>
      <c r="X28" s="2"/>
      <c r="Y28" s="12"/>
      <c r="Z28" s="12"/>
      <c r="AA28" s="12"/>
      <c r="AB28" s="12"/>
      <c r="AC28" s="12"/>
      <c r="AD28" s="12"/>
    </row>
    <row r="29" ht="28.5" customHeight="1">
      <c r="A29" s="26" t="s">
        <v>62</v>
      </c>
      <c r="B29" s="27" t="str">
        <f>VLOOKUP($A$2,Data!$B$2:$AK$99874,35,FALSE)</f>
        <v>-2568 ทุนการศึกษาคณะวิศวกรรมศาสตร์ : 5,000</v>
      </c>
      <c r="C29" s="12"/>
      <c r="D29" s="2"/>
      <c r="E29" s="2"/>
      <c r="F29" s="12"/>
      <c r="G29" s="12"/>
      <c r="H29" s="2"/>
      <c r="I29" s="12"/>
      <c r="J29" s="2"/>
      <c r="K29" s="12"/>
      <c r="L29" s="2"/>
      <c r="M29" s="12"/>
      <c r="N29" s="2"/>
      <c r="O29" s="12"/>
      <c r="P29" s="12"/>
      <c r="Q29" s="12"/>
      <c r="R29" s="2"/>
      <c r="S29" s="12"/>
      <c r="T29" s="2"/>
      <c r="U29" s="12"/>
      <c r="V29" s="2"/>
      <c r="W29" s="12"/>
      <c r="X29" s="2"/>
      <c r="Y29" s="12"/>
      <c r="Z29" s="12"/>
      <c r="AA29" s="12"/>
      <c r="AB29" s="12"/>
      <c r="AC29" s="12"/>
      <c r="AD29" s="12"/>
    </row>
    <row r="30" ht="28.5" customHeight="1">
      <c r="A30" s="28"/>
      <c r="B30" s="28"/>
      <c r="C30" s="12"/>
      <c r="D30" s="2"/>
      <c r="E30" s="2"/>
      <c r="F30" s="12"/>
      <c r="G30" s="12"/>
      <c r="H30" s="2"/>
      <c r="I30" s="12"/>
      <c r="J30" s="2"/>
      <c r="K30" s="12"/>
      <c r="L30" s="2"/>
      <c r="M30" s="12"/>
      <c r="N30" s="2"/>
      <c r="O30" s="12"/>
      <c r="P30" s="12"/>
      <c r="Q30" s="12"/>
      <c r="R30" s="2"/>
      <c r="S30" s="12"/>
      <c r="T30" s="2"/>
      <c r="U30" s="12"/>
      <c r="V30" s="2"/>
      <c r="W30" s="12"/>
      <c r="X30" s="2"/>
      <c r="Y30" s="12"/>
      <c r="Z30" s="12"/>
      <c r="AA30" s="12"/>
      <c r="AB30" s="12"/>
      <c r="AC30" s="12"/>
      <c r="AD30" s="12"/>
    </row>
    <row r="31" ht="28.5" customHeight="1">
      <c r="A31" s="29"/>
      <c r="B31" s="29"/>
      <c r="C31" s="12"/>
      <c r="D31" s="2"/>
      <c r="E31" s="2"/>
      <c r="F31" s="12"/>
      <c r="G31" s="12"/>
      <c r="H31" s="2"/>
      <c r="I31" s="12"/>
      <c r="J31" s="2"/>
      <c r="K31" s="12"/>
      <c r="L31" s="2"/>
      <c r="M31" s="12"/>
      <c r="N31" s="2"/>
      <c r="O31" s="12"/>
      <c r="P31" s="12"/>
      <c r="Q31" s="12"/>
      <c r="R31" s="2"/>
      <c r="S31" s="12"/>
      <c r="T31" s="2"/>
      <c r="U31" s="12"/>
      <c r="V31" s="2"/>
      <c r="W31" s="12"/>
      <c r="X31" s="2"/>
      <c r="Y31" s="12"/>
      <c r="Z31" s="12"/>
      <c r="AA31" s="12"/>
      <c r="AB31" s="12"/>
      <c r="AC31" s="12"/>
      <c r="AD31" s="12"/>
    </row>
    <row r="32" ht="28.5" customHeight="1">
      <c r="A32" s="21" t="s">
        <v>63</v>
      </c>
      <c r="B32" s="21">
        <f>VLOOKUP($A$2,Data!$B$2:$AK$99874,9,FALSE)</f>
        <v>4</v>
      </c>
      <c r="C32" s="12"/>
      <c r="D32" s="2"/>
      <c r="E32" s="2"/>
      <c r="F32" s="12"/>
      <c r="G32" s="12"/>
      <c r="H32" s="2"/>
      <c r="I32" s="12"/>
      <c r="J32" s="2"/>
      <c r="K32" s="12"/>
      <c r="L32" s="2"/>
      <c r="M32" s="12"/>
      <c r="N32" s="2"/>
      <c r="O32" s="12"/>
      <c r="P32" s="12"/>
      <c r="Q32" s="12"/>
      <c r="R32" s="2"/>
      <c r="S32" s="12"/>
      <c r="T32" s="2"/>
      <c r="U32" s="12"/>
      <c r="V32" s="2"/>
      <c r="W32" s="12"/>
      <c r="X32" s="2"/>
      <c r="Y32" s="12"/>
      <c r="Z32" s="12"/>
      <c r="AA32" s="12"/>
      <c r="AB32" s="12"/>
      <c r="AC32" s="12"/>
      <c r="AD32" s="12"/>
    </row>
    <row r="33" ht="28.5" customHeight="1">
      <c r="A33" s="12"/>
      <c r="B33" s="12"/>
      <c r="C33" s="12"/>
      <c r="D33" s="2"/>
      <c r="E33" s="2"/>
      <c r="F33" s="12"/>
      <c r="G33" s="12"/>
      <c r="H33" s="2"/>
      <c r="I33" s="12"/>
      <c r="J33" s="2"/>
      <c r="K33" s="12"/>
      <c r="L33" s="2"/>
      <c r="M33" s="12"/>
      <c r="N33" s="2"/>
      <c r="O33" s="12"/>
      <c r="P33" s="12"/>
      <c r="Q33" s="12"/>
      <c r="R33" s="2"/>
      <c r="S33" s="12"/>
      <c r="T33" s="2"/>
      <c r="U33" s="12"/>
      <c r="V33" s="2"/>
      <c r="W33" s="12"/>
      <c r="X33" s="2"/>
      <c r="Y33" s="12"/>
      <c r="Z33" s="12"/>
      <c r="AA33" s="12"/>
      <c r="AB33" s="12"/>
      <c r="AC33" s="12"/>
      <c r="AD33" s="12"/>
    </row>
    <row r="34" ht="28.5" customHeight="1">
      <c r="A34" s="12"/>
      <c r="B34" s="12"/>
      <c r="C34" s="12"/>
      <c r="D34" s="2"/>
      <c r="E34" s="2"/>
      <c r="F34" s="12"/>
      <c r="G34" s="12"/>
      <c r="H34" s="2"/>
      <c r="I34" s="12"/>
      <c r="J34" s="2"/>
      <c r="K34" s="12"/>
      <c r="L34" s="2"/>
      <c r="M34" s="12"/>
      <c r="N34" s="2"/>
      <c r="O34" s="12"/>
      <c r="P34" s="12"/>
      <c r="Q34" s="12"/>
      <c r="R34" s="2"/>
      <c r="S34" s="12"/>
      <c r="T34" s="2"/>
      <c r="U34" s="12"/>
      <c r="V34" s="2"/>
      <c r="W34" s="12"/>
      <c r="X34" s="2"/>
      <c r="Y34" s="12"/>
      <c r="Z34" s="12"/>
      <c r="AA34" s="12"/>
      <c r="AB34" s="12"/>
      <c r="AC34" s="12"/>
      <c r="AD34" s="12"/>
    </row>
    <row r="35" ht="28.5" customHeight="1">
      <c r="A35" s="12"/>
      <c r="B35" s="12"/>
      <c r="C35" s="12"/>
      <c r="D35" s="2"/>
      <c r="E35" s="2"/>
      <c r="F35" s="12"/>
      <c r="G35" s="12"/>
      <c r="H35" s="2"/>
      <c r="I35" s="12"/>
      <c r="J35" s="2"/>
      <c r="K35" s="12"/>
      <c r="L35" s="2"/>
      <c r="M35" s="12"/>
      <c r="N35" s="2"/>
      <c r="O35" s="12"/>
      <c r="P35" s="12"/>
      <c r="Q35" s="12"/>
      <c r="R35" s="2"/>
      <c r="S35" s="12"/>
      <c r="T35" s="2"/>
      <c r="U35" s="12"/>
      <c r="V35" s="2"/>
      <c r="W35" s="12"/>
      <c r="X35" s="2"/>
      <c r="Y35" s="12"/>
      <c r="Z35" s="12"/>
      <c r="AA35" s="12"/>
      <c r="AB35" s="12"/>
      <c r="AC35" s="12"/>
      <c r="AD35" s="12"/>
    </row>
    <row r="36" ht="28.5" customHeight="1">
      <c r="A36" s="12"/>
      <c r="B36" s="12"/>
      <c r="C36" s="12"/>
      <c r="D36" s="2"/>
      <c r="E36" s="2"/>
      <c r="F36" s="12"/>
      <c r="G36" s="12"/>
      <c r="H36" s="2"/>
      <c r="I36" s="12"/>
      <c r="J36" s="2"/>
      <c r="K36" s="12"/>
      <c r="L36" s="2"/>
      <c r="M36" s="12"/>
      <c r="N36" s="2"/>
      <c r="O36" s="12"/>
      <c r="P36" s="12"/>
      <c r="Q36" s="12"/>
      <c r="R36" s="2"/>
      <c r="S36" s="12"/>
      <c r="T36" s="2"/>
      <c r="U36" s="12"/>
      <c r="V36" s="2"/>
      <c r="W36" s="12"/>
      <c r="X36" s="2"/>
      <c r="Y36" s="12"/>
      <c r="Z36" s="12"/>
      <c r="AA36" s="12"/>
      <c r="AB36" s="12"/>
      <c r="AC36" s="12"/>
      <c r="AD36" s="12"/>
    </row>
    <row r="37" ht="28.5" customHeight="1">
      <c r="A37" s="12"/>
      <c r="B37" s="12"/>
      <c r="C37" s="12"/>
      <c r="D37" s="2"/>
      <c r="E37" s="2"/>
      <c r="F37" s="12"/>
      <c r="G37" s="12"/>
      <c r="H37" s="2"/>
      <c r="I37" s="12"/>
      <c r="J37" s="2"/>
      <c r="K37" s="12"/>
      <c r="L37" s="2"/>
      <c r="M37" s="12"/>
      <c r="N37" s="2"/>
      <c r="O37" s="12"/>
      <c r="P37" s="12"/>
      <c r="Q37" s="12"/>
      <c r="R37" s="2"/>
      <c r="S37" s="12"/>
      <c r="T37" s="2"/>
      <c r="U37" s="12"/>
      <c r="V37" s="2"/>
      <c r="W37" s="12"/>
      <c r="X37" s="2"/>
      <c r="Y37" s="12"/>
      <c r="Z37" s="12"/>
      <c r="AA37" s="12"/>
      <c r="AB37" s="12"/>
      <c r="AC37" s="12"/>
      <c r="AD37" s="12"/>
    </row>
    <row r="38" ht="28.5" customHeight="1">
      <c r="A38" s="12"/>
      <c r="B38" s="12"/>
      <c r="C38" s="12"/>
      <c r="D38" s="2"/>
      <c r="E38" s="2"/>
      <c r="F38" s="12"/>
      <c r="G38" s="12"/>
      <c r="H38" s="2"/>
      <c r="I38" s="12"/>
      <c r="J38" s="2"/>
      <c r="K38" s="12"/>
      <c r="L38" s="2"/>
      <c r="M38" s="12"/>
      <c r="N38" s="2"/>
      <c r="O38" s="12"/>
      <c r="P38" s="12"/>
      <c r="Q38" s="12"/>
      <c r="R38" s="2"/>
      <c r="S38" s="12"/>
      <c r="T38" s="2"/>
      <c r="U38" s="12"/>
      <c r="V38" s="2"/>
      <c r="W38" s="12"/>
      <c r="X38" s="2"/>
      <c r="Y38" s="12"/>
      <c r="Z38" s="12"/>
      <c r="AA38" s="12"/>
      <c r="AB38" s="12"/>
      <c r="AC38" s="12"/>
      <c r="AD38" s="12"/>
    </row>
    <row r="39" ht="28.5" customHeight="1">
      <c r="A39" s="12"/>
      <c r="B39" s="12"/>
      <c r="C39" s="12"/>
      <c r="D39" s="2"/>
      <c r="E39" s="2"/>
      <c r="F39" s="12"/>
      <c r="G39" s="12"/>
      <c r="H39" s="2"/>
      <c r="I39" s="12"/>
      <c r="J39" s="2"/>
      <c r="K39" s="12"/>
      <c r="L39" s="2"/>
      <c r="M39" s="12"/>
      <c r="N39" s="2"/>
      <c r="O39" s="12"/>
      <c r="P39" s="12"/>
      <c r="Q39" s="12"/>
      <c r="R39" s="2"/>
      <c r="S39" s="12"/>
      <c r="T39" s="2"/>
      <c r="U39" s="12"/>
      <c r="V39" s="2"/>
      <c r="W39" s="12"/>
      <c r="X39" s="2"/>
      <c r="Y39" s="12"/>
      <c r="Z39" s="12"/>
      <c r="AA39" s="12"/>
      <c r="AB39" s="12"/>
      <c r="AC39" s="12"/>
      <c r="AD39" s="12"/>
    </row>
    <row r="40" ht="28.5" customHeight="1">
      <c r="A40" s="12"/>
      <c r="B40" s="12"/>
      <c r="C40" s="12"/>
      <c r="D40" s="2"/>
      <c r="E40" s="2"/>
      <c r="F40" s="12"/>
      <c r="G40" s="12"/>
      <c r="H40" s="2"/>
      <c r="I40" s="12"/>
      <c r="J40" s="2"/>
      <c r="K40" s="12"/>
      <c r="L40" s="2"/>
      <c r="M40" s="12"/>
      <c r="N40" s="2"/>
      <c r="O40" s="12"/>
      <c r="P40" s="12"/>
      <c r="Q40" s="12"/>
      <c r="R40" s="2"/>
      <c r="S40" s="12"/>
      <c r="T40" s="2"/>
      <c r="U40" s="12"/>
      <c r="V40" s="2"/>
      <c r="W40" s="12"/>
      <c r="X40" s="2"/>
      <c r="Y40" s="12"/>
      <c r="Z40" s="12"/>
      <c r="AA40" s="12"/>
      <c r="AB40" s="12"/>
      <c r="AC40" s="12"/>
      <c r="AD40" s="12"/>
    </row>
    <row r="41" ht="28.5" customHeight="1">
      <c r="A41" s="12"/>
      <c r="B41" s="12"/>
      <c r="C41" s="12"/>
      <c r="D41" s="2"/>
      <c r="E41" s="2"/>
      <c r="F41" s="12"/>
      <c r="G41" s="12"/>
      <c r="H41" s="2"/>
      <c r="I41" s="12"/>
      <c r="J41" s="2"/>
      <c r="K41" s="12"/>
      <c r="L41" s="2"/>
      <c r="M41" s="12"/>
      <c r="N41" s="2"/>
      <c r="O41" s="12"/>
      <c r="P41" s="12"/>
      <c r="Q41" s="12"/>
      <c r="R41" s="2"/>
      <c r="S41" s="12"/>
      <c r="T41" s="2"/>
      <c r="U41" s="12"/>
      <c r="V41" s="2"/>
      <c r="W41" s="12"/>
      <c r="X41" s="2"/>
      <c r="Y41" s="12"/>
      <c r="Z41" s="12"/>
      <c r="AA41" s="12"/>
      <c r="AB41" s="12"/>
      <c r="AC41" s="12"/>
      <c r="AD41" s="12"/>
    </row>
    <row r="42" ht="28.5" customHeight="1">
      <c r="A42" s="12"/>
      <c r="B42" s="12"/>
      <c r="C42" s="12"/>
      <c r="D42" s="2"/>
      <c r="E42" s="2"/>
      <c r="F42" s="12"/>
      <c r="G42" s="12"/>
      <c r="H42" s="2"/>
      <c r="I42" s="12"/>
      <c r="J42" s="2"/>
      <c r="K42" s="12"/>
      <c r="L42" s="2"/>
      <c r="M42" s="12"/>
      <c r="N42" s="2"/>
      <c r="O42" s="12"/>
      <c r="P42" s="12"/>
      <c r="Q42" s="12"/>
      <c r="R42" s="2"/>
      <c r="S42" s="12"/>
      <c r="T42" s="2"/>
      <c r="U42" s="12"/>
      <c r="V42" s="2"/>
      <c r="W42" s="12"/>
      <c r="X42" s="2"/>
      <c r="Y42" s="12"/>
      <c r="Z42" s="12"/>
      <c r="AA42" s="12"/>
      <c r="AB42" s="12"/>
      <c r="AC42" s="12"/>
      <c r="AD42" s="12"/>
    </row>
    <row r="43" ht="28.5" customHeight="1">
      <c r="A43" s="12"/>
      <c r="B43" s="12"/>
      <c r="C43" s="12"/>
      <c r="D43" s="2"/>
      <c r="E43" s="2"/>
      <c r="F43" s="12"/>
      <c r="G43" s="12"/>
      <c r="H43" s="2"/>
      <c r="I43" s="12"/>
      <c r="J43" s="2"/>
      <c r="K43" s="12"/>
      <c r="L43" s="2"/>
      <c r="M43" s="12"/>
      <c r="N43" s="2"/>
      <c r="O43" s="12"/>
      <c r="P43" s="12"/>
      <c r="Q43" s="12"/>
      <c r="R43" s="2"/>
      <c r="S43" s="12"/>
      <c r="T43" s="2"/>
      <c r="U43" s="12"/>
      <c r="V43" s="2"/>
      <c r="W43" s="12"/>
      <c r="X43" s="2"/>
      <c r="Y43" s="12"/>
      <c r="Z43" s="12"/>
      <c r="AA43" s="12"/>
      <c r="AB43" s="12"/>
      <c r="AC43" s="12"/>
      <c r="AD43" s="12"/>
    </row>
    <row r="44" ht="28.5" customHeight="1">
      <c r="A44" s="12"/>
      <c r="B44" s="12"/>
      <c r="C44" s="12"/>
      <c r="D44" s="2"/>
      <c r="E44" s="2"/>
      <c r="F44" s="12"/>
      <c r="G44" s="12"/>
      <c r="H44" s="2"/>
      <c r="I44" s="12"/>
      <c r="J44" s="2"/>
      <c r="K44" s="12"/>
      <c r="L44" s="2"/>
      <c r="M44" s="12"/>
      <c r="N44" s="2"/>
      <c r="O44" s="12"/>
      <c r="P44" s="12"/>
      <c r="Q44" s="12"/>
      <c r="R44" s="2"/>
      <c r="S44" s="12"/>
      <c r="T44" s="2"/>
      <c r="U44" s="12"/>
      <c r="V44" s="2"/>
      <c r="W44" s="12"/>
      <c r="X44" s="2"/>
      <c r="Y44" s="12"/>
      <c r="Z44" s="12"/>
      <c r="AA44" s="12"/>
      <c r="AB44" s="12"/>
      <c r="AC44" s="12"/>
      <c r="AD44" s="12"/>
    </row>
    <row r="45" ht="28.5" customHeight="1">
      <c r="A45" s="12"/>
      <c r="B45" s="12"/>
      <c r="C45" s="12"/>
      <c r="D45" s="2"/>
      <c r="E45" s="2"/>
      <c r="F45" s="12"/>
      <c r="G45" s="12"/>
      <c r="H45" s="2"/>
      <c r="I45" s="12"/>
      <c r="J45" s="2"/>
      <c r="K45" s="12"/>
      <c r="L45" s="2"/>
      <c r="M45" s="12"/>
      <c r="N45" s="2"/>
      <c r="O45" s="12"/>
      <c r="P45" s="12"/>
      <c r="Q45" s="12"/>
      <c r="R45" s="2"/>
      <c r="S45" s="12"/>
      <c r="T45" s="2"/>
      <c r="U45" s="12"/>
      <c r="V45" s="2"/>
      <c r="W45" s="12"/>
      <c r="X45" s="2"/>
      <c r="Y45" s="12"/>
      <c r="Z45" s="12"/>
      <c r="AA45" s="12"/>
      <c r="AB45" s="12"/>
      <c r="AC45" s="12"/>
      <c r="AD45" s="12"/>
    </row>
    <row r="46" ht="28.5" customHeight="1">
      <c r="A46" s="12"/>
      <c r="B46" s="12"/>
      <c r="C46" s="12"/>
      <c r="D46" s="2"/>
      <c r="E46" s="2"/>
      <c r="F46" s="12"/>
      <c r="G46" s="12"/>
      <c r="H46" s="2"/>
      <c r="I46" s="12"/>
      <c r="J46" s="2"/>
      <c r="K46" s="12"/>
      <c r="L46" s="2"/>
      <c r="M46" s="12"/>
      <c r="N46" s="2"/>
      <c r="O46" s="12"/>
      <c r="P46" s="12"/>
      <c r="Q46" s="12"/>
      <c r="R46" s="2"/>
      <c r="S46" s="12"/>
      <c r="T46" s="2"/>
      <c r="U46" s="12"/>
      <c r="V46" s="2"/>
      <c r="W46" s="12"/>
      <c r="X46" s="2"/>
      <c r="Y46" s="12"/>
      <c r="Z46" s="12"/>
      <c r="AA46" s="12"/>
      <c r="AB46" s="12"/>
      <c r="AC46" s="12"/>
      <c r="AD46" s="12"/>
    </row>
    <row r="47" ht="28.5" customHeight="1">
      <c r="A47" s="12"/>
      <c r="B47" s="12"/>
      <c r="C47" s="12"/>
      <c r="D47" s="2"/>
      <c r="E47" s="2"/>
      <c r="F47" s="12"/>
      <c r="G47" s="12"/>
      <c r="H47" s="2"/>
      <c r="I47" s="12"/>
      <c r="J47" s="2"/>
      <c r="K47" s="12"/>
      <c r="L47" s="2"/>
      <c r="M47" s="12"/>
      <c r="N47" s="2"/>
      <c r="O47" s="12"/>
      <c r="P47" s="12"/>
      <c r="Q47" s="12"/>
      <c r="R47" s="2"/>
      <c r="S47" s="12"/>
      <c r="T47" s="2"/>
      <c r="U47" s="12"/>
      <c r="V47" s="2"/>
      <c r="W47" s="12"/>
      <c r="X47" s="2"/>
      <c r="Y47" s="12"/>
      <c r="Z47" s="12"/>
      <c r="AA47" s="12"/>
      <c r="AB47" s="12"/>
      <c r="AC47" s="12"/>
      <c r="AD47" s="12"/>
    </row>
    <row r="48" ht="28.5" customHeight="1">
      <c r="A48" s="12"/>
      <c r="B48" s="12"/>
      <c r="C48" s="12"/>
      <c r="D48" s="2"/>
      <c r="E48" s="2"/>
      <c r="F48" s="12"/>
      <c r="G48" s="12"/>
      <c r="H48" s="2"/>
      <c r="I48" s="12"/>
      <c r="J48" s="2"/>
      <c r="K48" s="12"/>
      <c r="L48" s="2"/>
      <c r="M48" s="12"/>
      <c r="N48" s="2"/>
      <c r="O48" s="12"/>
      <c r="P48" s="12"/>
      <c r="Q48" s="12"/>
      <c r="R48" s="2"/>
      <c r="S48" s="12"/>
      <c r="T48" s="2"/>
      <c r="U48" s="12"/>
      <c r="V48" s="2"/>
      <c r="W48" s="12"/>
      <c r="X48" s="2"/>
      <c r="Y48" s="12"/>
      <c r="Z48" s="12"/>
      <c r="AA48" s="12"/>
      <c r="AB48" s="12"/>
      <c r="AC48" s="12"/>
      <c r="AD48" s="12"/>
    </row>
    <row r="49" ht="28.5" customHeight="1">
      <c r="A49" s="12"/>
      <c r="B49" s="12"/>
      <c r="C49" s="12"/>
      <c r="D49" s="2"/>
      <c r="E49" s="2"/>
      <c r="F49" s="12"/>
      <c r="G49" s="12"/>
      <c r="H49" s="2"/>
      <c r="I49" s="12"/>
      <c r="J49" s="2"/>
      <c r="K49" s="12"/>
      <c r="L49" s="2"/>
      <c r="M49" s="12"/>
      <c r="N49" s="2"/>
      <c r="O49" s="12"/>
      <c r="P49" s="12"/>
      <c r="Q49" s="12"/>
      <c r="R49" s="2"/>
      <c r="S49" s="12"/>
      <c r="T49" s="2"/>
      <c r="U49" s="12"/>
      <c r="V49" s="2"/>
      <c r="W49" s="12"/>
      <c r="X49" s="2"/>
      <c r="Y49" s="12"/>
      <c r="Z49" s="12"/>
      <c r="AA49" s="12"/>
      <c r="AB49" s="12"/>
      <c r="AC49" s="12"/>
      <c r="AD49" s="12"/>
    </row>
    <row r="50" ht="28.5" customHeight="1">
      <c r="A50" s="12"/>
      <c r="B50" s="12"/>
      <c r="C50" s="12"/>
      <c r="D50" s="2"/>
      <c r="E50" s="2"/>
      <c r="F50" s="12"/>
      <c r="G50" s="12"/>
      <c r="H50" s="2"/>
      <c r="I50" s="12"/>
      <c r="J50" s="2"/>
      <c r="K50" s="12"/>
      <c r="L50" s="2"/>
      <c r="M50" s="12"/>
      <c r="N50" s="2"/>
      <c r="O50" s="12"/>
      <c r="P50" s="12"/>
      <c r="Q50" s="12"/>
      <c r="R50" s="2"/>
      <c r="S50" s="12"/>
      <c r="T50" s="2"/>
      <c r="U50" s="12"/>
      <c r="V50" s="2"/>
      <c r="W50" s="12"/>
      <c r="X50" s="2"/>
      <c r="Y50" s="12"/>
      <c r="Z50" s="12"/>
      <c r="AA50" s="12"/>
      <c r="AB50" s="12"/>
      <c r="AC50" s="12"/>
      <c r="AD50" s="12"/>
    </row>
    <row r="51" ht="28.5" customHeight="1">
      <c r="A51" s="12"/>
      <c r="B51" s="12"/>
      <c r="C51" s="12"/>
      <c r="D51" s="2"/>
      <c r="E51" s="2"/>
      <c r="F51" s="12"/>
      <c r="G51" s="12"/>
      <c r="H51" s="2"/>
      <c r="I51" s="12"/>
      <c r="J51" s="2"/>
      <c r="K51" s="12"/>
      <c r="L51" s="2"/>
      <c r="M51" s="12"/>
      <c r="N51" s="2"/>
      <c r="O51" s="12"/>
      <c r="P51" s="12"/>
      <c r="Q51" s="12"/>
      <c r="R51" s="2"/>
      <c r="S51" s="12"/>
      <c r="T51" s="2"/>
      <c r="U51" s="12"/>
      <c r="V51" s="2"/>
      <c r="W51" s="12"/>
      <c r="X51" s="2"/>
      <c r="Y51" s="12"/>
      <c r="Z51" s="12"/>
      <c r="AA51" s="12"/>
      <c r="AB51" s="12"/>
      <c r="AC51" s="12"/>
      <c r="AD51" s="12"/>
    </row>
    <row r="52" ht="28.5" customHeight="1">
      <c r="A52" s="12"/>
      <c r="B52" s="12"/>
      <c r="C52" s="12"/>
      <c r="D52" s="2"/>
      <c r="E52" s="2"/>
      <c r="F52" s="12"/>
      <c r="G52" s="12"/>
      <c r="H52" s="2"/>
      <c r="I52" s="12"/>
      <c r="J52" s="2"/>
      <c r="K52" s="12"/>
      <c r="L52" s="2"/>
      <c r="M52" s="12"/>
      <c r="N52" s="2"/>
      <c r="O52" s="12"/>
      <c r="P52" s="12"/>
      <c r="Q52" s="12"/>
      <c r="R52" s="2"/>
      <c r="S52" s="12"/>
      <c r="T52" s="2"/>
      <c r="U52" s="12"/>
      <c r="V52" s="2"/>
      <c r="W52" s="12"/>
      <c r="X52" s="2"/>
      <c r="Y52" s="12"/>
      <c r="Z52" s="12"/>
      <c r="AA52" s="12"/>
      <c r="AB52" s="12"/>
      <c r="AC52" s="12"/>
      <c r="AD52" s="12"/>
    </row>
    <row r="53" ht="28.5" customHeight="1">
      <c r="A53" s="12"/>
      <c r="B53" s="12"/>
      <c r="C53" s="12"/>
      <c r="D53" s="2"/>
      <c r="E53" s="2"/>
      <c r="F53" s="12"/>
      <c r="G53" s="12"/>
      <c r="H53" s="2"/>
      <c r="I53" s="12"/>
      <c r="J53" s="2"/>
      <c r="K53" s="12"/>
      <c r="L53" s="2"/>
      <c r="M53" s="12"/>
      <c r="N53" s="2"/>
      <c r="O53" s="12"/>
      <c r="P53" s="12"/>
      <c r="Q53" s="12"/>
      <c r="R53" s="2"/>
      <c r="S53" s="12"/>
      <c r="T53" s="2"/>
      <c r="U53" s="12"/>
      <c r="V53" s="2"/>
      <c r="W53" s="12"/>
      <c r="X53" s="2"/>
      <c r="Y53" s="12"/>
      <c r="Z53" s="12"/>
      <c r="AA53" s="12"/>
      <c r="AB53" s="12"/>
      <c r="AC53" s="12"/>
      <c r="AD53" s="12"/>
    </row>
    <row r="54" ht="28.5" customHeight="1">
      <c r="A54" s="12"/>
      <c r="B54" s="12"/>
      <c r="C54" s="12"/>
      <c r="D54" s="2"/>
      <c r="E54" s="2"/>
      <c r="F54" s="12"/>
      <c r="G54" s="12"/>
      <c r="H54" s="2"/>
      <c r="I54" s="12"/>
      <c r="J54" s="2"/>
      <c r="K54" s="12"/>
      <c r="L54" s="2"/>
      <c r="M54" s="12"/>
      <c r="N54" s="2"/>
      <c r="O54" s="12"/>
      <c r="P54" s="12"/>
      <c r="Q54" s="12"/>
      <c r="R54" s="2"/>
      <c r="S54" s="12"/>
      <c r="T54" s="2"/>
      <c r="U54" s="12"/>
      <c r="V54" s="2"/>
      <c r="W54" s="12"/>
      <c r="X54" s="2"/>
      <c r="Y54" s="12"/>
      <c r="Z54" s="12"/>
      <c r="AA54" s="12"/>
      <c r="AB54" s="12"/>
      <c r="AC54" s="12"/>
      <c r="AD54" s="12"/>
    </row>
    <row r="55" ht="28.5" customHeight="1">
      <c r="A55" s="12"/>
      <c r="B55" s="12"/>
      <c r="C55" s="12"/>
      <c r="D55" s="2"/>
      <c r="E55" s="2"/>
      <c r="F55" s="12"/>
      <c r="G55" s="12"/>
      <c r="H55" s="2"/>
      <c r="I55" s="12"/>
      <c r="J55" s="2"/>
      <c r="K55" s="12"/>
      <c r="L55" s="2"/>
      <c r="M55" s="12"/>
      <c r="N55" s="2"/>
      <c r="O55" s="12"/>
      <c r="P55" s="12"/>
      <c r="Q55" s="12"/>
      <c r="R55" s="2"/>
      <c r="S55" s="12"/>
      <c r="T55" s="2"/>
      <c r="U55" s="12"/>
      <c r="V55" s="2"/>
      <c r="W55" s="12"/>
      <c r="X55" s="2"/>
      <c r="Y55" s="12"/>
      <c r="Z55" s="12"/>
      <c r="AA55" s="12"/>
      <c r="AB55" s="12"/>
      <c r="AC55" s="12"/>
      <c r="AD55" s="12"/>
    </row>
    <row r="56" ht="28.5" customHeight="1">
      <c r="A56" s="12"/>
      <c r="B56" s="12"/>
      <c r="C56" s="12"/>
      <c r="D56" s="2"/>
      <c r="E56" s="2"/>
      <c r="F56" s="12"/>
      <c r="G56" s="12"/>
      <c r="H56" s="2"/>
      <c r="I56" s="12"/>
      <c r="J56" s="2"/>
      <c r="K56" s="12"/>
      <c r="L56" s="2"/>
      <c r="M56" s="12"/>
      <c r="N56" s="2"/>
      <c r="O56" s="12"/>
      <c r="P56" s="12"/>
      <c r="Q56" s="12"/>
      <c r="R56" s="2"/>
      <c r="S56" s="12"/>
      <c r="T56" s="2"/>
      <c r="U56" s="12"/>
      <c r="V56" s="2"/>
      <c r="W56" s="12"/>
      <c r="X56" s="2"/>
      <c r="Y56" s="12"/>
      <c r="Z56" s="12"/>
      <c r="AA56" s="12"/>
      <c r="AB56" s="12"/>
      <c r="AC56" s="12"/>
      <c r="AD56" s="12"/>
    </row>
    <row r="57" ht="28.5" customHeight="1">
      <c r="A57" s="12"/>
      <c r="B57" s="12"/>
      <c r="C57" s="12"/>
      <c r="D57" s="2"/>
      <c r="E57" s="2"/>
      <c r="F57" s="12"/>
      <c r="G57" s="12"/>
      <c r="H57" s="2"/>
      <c r="I57" s="12"/>
      <c r="J57" s="2"/>
      <c r="K57" s="12"/>
      <c r="L57" s="2"/>
      <c r="M57" s="12"/>
      <c r="N57" s="2"/>
      <c r="O57" s="12"/>
      <c r="P57" s="12"/>
      <c r="Q57" s="12"/>
      <c r="R57" s="2"/>
      <c r="S57" s="12"/>
      <c r="T57" s="2"/>
      <c r="U57" s="12"/>
      <c r="V57" s="2"/>
      <c r="W57" s="12"/>
      <c r="X57" s="2"/>
      <c r="Y57" s="12"/>
      <c r="Z57" s="12"/>
      <c r="AA57" s="12"/>
      <c r="AB57" s="12"/>
      <c r="AC57" s="12"/>
      <c r="AD57" s="12"/>
    </row>
    <row r="58" ht="28.5" customHeight="1">
      <c r="A58" s="12"/>
      <c r="B58" s="12"/>
      <c r="C58" s="12"/>
      <c r="D58" s="2"/>
      <c r="E58" s="2"/>
      <c r="F58" s="12"/>
      <c r="G58" s="12"/>
      <c r="H58" s="2"/>
      <c r="I58" s="12"/>
      <c r="J58" s="2"/>
      <c r="K58" s="12"/>
      <c r="L58" s="2"/>
      <c r="M58" s="12"/>
      <c r="N58" s="2"/>
      <c r="O58" s="12"/>
      <c r="P58" s="12"/>
      <c r="Q58" s="12"/>
      <c r="R58" s="2"/>
      <c r="S58" s="12"/>
      <c r="T58" s="2"/>
      <c r="U58" s="12"/>
      <c r="V58" s="2"/>
      <c r="W58" s="12"/>
      <c r="X58" s="2"/>
      <c r="Y58" s="12"/>
      <c r="Z58" s="12"/>
      <c r="AA58" s="12"/>
      <c r="AB58" s="12"/>
      <c r="AC58" s="12"/>
      <c r="AD58" s="12"/>
    </row>
    <row r="59" ht="28.5" customHeight="1">
      <c r="A59" s="12"/>
      <c r="B59" s="12"/>
      <c r="C59" s="12"/>
      <c r="D59" s="2"/>
      <c r="E59" s="2"/>
      <c r="F59" s="12"/>
      <c r="G59" s="12"/>
      <c r="H59" s="2"/>
      <c r="I59" s="12"/>
      <c r="J59" s="2"/>
      <c r="K59" s="12"/>
      <c r="L59" s="2"/>
      <c r="M59" s="12"/>
      <c r="N59" s="2"/>
      <c r="O59" s="12"/>
      <c r="P59" s="12"/>
      <c r="Q59" s="12"/>
      <c r="R59" s="2"/>
      <c r="S59" s="12"/>
      <c r="T59" s="2"/>
      <c r="U59" s="12"/>
      <c r="V59" s="2"/>
      <c r="W59" s="12"/>
      <c r="X59" s="2"/>
      <c r="Y59" s="12"/>
      <c r="Z59" s="12"/>
      <c r="AA59" s="12"/>
      <c r="AB59" s="12"/>
      <c r="AC59" s="12"/>
      <c r="AD59" s="12"/>
    </row>
    <row r="60" ht="30.0" customHeight="1">
      <c r="A60" s="12"/>
      <c r="B60" s="12"/>
      <c r="C60" s="12"/>
      <c r="D60" s="2"/>
      <c r="E60" s="2"/>
      <c r="F60" s="12"/>
      <c r="G60" s="12"/>
      <c r="H60" s="2"/>
      <c r="I60" s="12"/>
      <c r="J60" s="2"/>
      <c r="K60" s="12"/>
      <c r="L60" s="2"/>
      <c r="M60" s="12"/>
      <c r="N60" s="2"/>
      <c r="O60" s="12"/>
      <c r="P60" s="12"/>
      <c r="Q60" s="12"/>
      <c r="R60" s="2"/>
      <c r="S60" s="12"/>
      <c r="T60" s="2"/>
      <c r="U60" s="12"/>
      <c r="V60" s="2"/>
      <c r="W60" s="12"/>
      <c r="X60" s="2"/>
      <c r="Y60" s="12"/>
      <c r="Z60" s="12"/>
      <c r="AA60" s="12"/>
      <c r="AB60" s="12"/>
      <c r="AC60" s="12"/>
      <c r="AD60" s="12"/>
    </row>
    <row r="61" ht="30.0" customHeight="1">
      <c r="A61" s="12"/>
      <c r="B61" s="12"/>
      <c r="C61" s="12"/>
      <c r="D61" s="2"/>
      <c r="E61" s="2"/>
      <c r="F61" s="12"/>
      <c r="G61" s="12"/>
      <c r="H61" s="2"/>
      <c r="I61" s="12"/>
      <c r="J61" s="2"/>
      <c r="K61" s="12"/>
      <c r="L61" s="2"/>
      <c r="M61" s="12"/>
      <c r="N61" s="2"/>
      <c r="O61" s="12"/>
      <c r="P61" s="12"/>
      <c r="Q61" s="12"/>
      <c r="R61" s="2"/>
      <c r="S61" s="12"/>
      <c r="T61" s="2"/>
      <c r="U61" s="12"/>
      <c r="V61" s="2"/>
      <c r="W61" s="12"/>
      <c r="X61" s="2"/>
      <c r="Y61" s="12"/>
      <c r="Z61" s="12"/>
      <c r="AA61" s="12"/>
      <c r="AB61" s="12"/>
      <c r="AC61" s="12"/>
      <c r="AD61" s="12"/>
    </row>
    <row r="62" ht="30.0" customHeight="1">
      <c r="A62" s="12"/>
      <c r="B62" s="12"/>
      <c r="C62" s="12"/>
      <c r="D62" s="2"/>
      <c r="E62" s="2"/>
      <c r="F62" s="12"/>
      <c r="G62" s="12"/>
      <c r="H62" s="2"/>
      <c r="I62" s="12"/>
      <c r="J62" s="2"/>
      <c r="K62" s="12"/>
      <c r="L62" s="2"/>
      <c r="M62" s="12"/>
      <c r="N62" s="2"/>
      <c r="O62" s="12"/>
      <c r="P62" s="12"/>
      <c r="Q62" s="12"/>
      <c r="R62" s="2"/>
      <c r="S62" s="12"/>
      <c r="T62" s="2"/>
      <c r="U62" s="12"/>
      <c r="V62" s="2"/>
      <c r="W62" s="12"/>
      <c r="X62" s="2"/>
      <c r="Y62" s="12"/>
      <c r="Z62" s="12"/>
      <c r="AA62" s="12"/>
      <c r="AB62" s="12"/>
      <c r="AC62" s="12"/>
      <c r="AD62" s="12"/>
    </row>
    <row r="63" ht="15.75" customHeight="1">
      <c r="A63" s="12"/>
      <c r="B63" s="12"/>
      <c r="C63" s="12"/>
      <c r="D63" s="2"/>
      <c r="E63" s="2"/>
      <c r="F63" s="12"/>
      <c r="G63" s="12"/>
      <c r="H63" s="2"/>
      <c r="I63" s="12"/>
      <c r="J63" s="2"/>
      <c r="K63" s="12"/>
      <c r="L63" s="2"/>
      <c r="M63" s="12"/>
      <c r="N63" s="2"/>
      <c r="O63" s="12"/>
      <c r="P63" s="12"/>
      <c r="Q63" s="12"/>
      <c r="R63" s="2"/>
      <c r="S63" s="12"/>
      <c r="T63" s="2"/>
      <c r="U63" s="12"/>
      <c r="V63" s="2"/>
      <c r="W63" s="12"/>
      <c r="X63" s="2"/>
      <c r="Y63" s="12"/>
      <c r="Z63" s="12"/>
      <c r="AA63" s="12"/>
      <c r="AB63" s="12"/>
      <c r="AC63" s="12"/>
      <c r="AD63" s="12"/>
    </row>
    <row r="64" ht="15.75" customHeight="1">
      <c r="A64" s="12"/>
      <c r="B64" s="12"/>
      <c r="C64" s="12"/>
      <c r="D64" s="2"/>
      <c r="E64" s="2"/>
      <c r="F64" s="12"/>
      <c r="G64" s="12"/>
      <c r="H64" s="2"/>
      <c r="I64" s="12"/>
      <c r="J64" s="2"/>
      <c r="K64" s="12"/>
      <c r="L64" s="2"/>
      <c r="M64" s="12"/>
      <c r="N64" s="2"/>
      <c r="O64" s="12"/>
      <c r="P64" s="12"/>
      <c r="Q64" s="12"/>
      <c r="R64" s="2"/>
      <c r="S64" s="12"/>
      <c r="T64" s="2"/>
      <c r="U64" s="12"/>
      <c r="V64" s="2"/>
      <c r="W64" s="12"/>
      <c r="X64" s="2"/>
      <c r="Y64" s="12"/>
      <c r="Z64" s="12"/>
      <c r="AA64" s="12"/>
      <c r="AB64" s="12"/>
      <c r="AC64" s="12"/>
      <c r="AD64" s="12"/>
    </row>
    <row r="65" ht="15.75" customHeight="1">
      <c r="A65" s="12"/>
      <c r="B65" s="12"/>
      <c r="C65" s="12"/>
      <c r="D65" s="2"/>
      <c r="E65" s="2"/>
      <c r="F65" s="12"/>
      <c r="G65" s="12"/>
      <c r="H65" s="2"/>
      <c r="I65" s="12"/>
      <c r="J65" s="2"/>
      <c r="K65" s="12"/>
      <c r="L65" s="2"/>
      <c r="M65" s="12"/>
      <c r="N65" s="2"/>
      <c r="O65" s="12"/>
      <c r="P65" s="12"/>
      <c r="Q65" s="12"/>
      <c r="R65" s="2"/>
      <c r="S65" s="12"/>
      <c r="T65" s="2"/>
      <c r="U65" s="12"/>
      <c r="V65" s="2"/>
      <c r="W65" s="12"/>
      <c r="X65" s="2"/>
      <c r="Y65" s="12"/>
      <c r="Z65" s="12"/>
      <c r="AA65" s="12"/>
      <c r="AB65" s="12"/>
      <c r="AC65" s="12"/>
      <c r="AD65" s="12"/>
    </row>
    <row r="66" ht="15.75" customHeight="1">
      <c r="A66" s="12"/>
      <c r="B66" s="12"/>
      <c r="C66" s="12"/>
      <c r="D66" s="2"/>
      <c r="E66" s="2"/>
      <c r="F66" s="12"/>
      <c r="G66" s="12"/>
      <c r="H66" s="2"/>
      <c r="I66" s="12"/>
      <c r="J66" s="2"/>
      <c r="K66" s="12"/>
      <c r="L66" s="2"/>
      <c r="M66" s="12"/>
      <c r="N66" s="2"/>
      <c r="O66" s="12"/>
      <c r="P66" s="12"/>
      <c r="Q66" s="12"/>
      <c r="R66" s="2"/>
      <c r="S66" s="12"/>
      <c r="T66" s="2"/>
      <c r="U66" s="12"/>
      <c r="V66" s="2"/>
      <c r="W66" s="12"/>
      <c r="X66" s="2"/>
      <c r="Y66" s="12"/>
      <c r="Z66" s="12"/>
      <c r="AA66" s="12"/>
      <c r="AB66" s="12"/>
      <c r="AC66" s="12"/>
      <c r="AD66" s="12"/>
    </row>
    <row r="67" ht="15.75" customHeight="1">
      <c r="A67" s="12"/>
      <c r="B67" s="12"/>
      <c r="C67" s="12"/>
      <c r="D67" s="2"/>
      <c r="E67" s="2"/>
      <c r="F67" s="12"/>
      <c r="G67" s="12"/>
      <c r="H67" s="2"/>
      <c r="I67" s="12"/>
      <c r="J67" s="2"/>
      <c r="K67" s="12"/>
      <c r="L67" s="2"/>
      <c r="M67" s="12"/>
      <c r="N67" s="2"/>
      <c r="O67" s="12"/>
      <c r="P67" s="12"/>
      <c r="Q67" s="12"/>
      <c r="R67" s="2"/>
      <c r="S67" s="12"/>
      <c r="T67" s="2"/>
      <c r="U67" s="12"/>
      <c r="V67" s="2"/>
      <c r="W67" s="12"/>
      <c r="X67" s="2"/>
      <c r="Y67" s="12"/>
      <c r="Z67" s="12"/>
      <c r="AA67" s="12"/>
      <c r="AB67" s="12"/>
      <c r="AC67" s="12"/>
      <c r="AD67" s="12"/>
    </row>
    <row r="68" ht="15.75" customHeight="1">
      <c r="A68" s="12"/>
      <c r="B68" s="12"/>
      <c r="C68" s="12"/>
      <c r="D68" s="2"/>
      <c r="E68" s="2"/>
      <c r="F68" s="12"/>
      <c r="G68" s="12"/>
      <c r="H68" s="2"/>
      <c r="I68" s="12"/>
      <c r="J68" s="2"/>
      <c r="K68" s="12"/>
      <c r="L68" s="2"/>
      <c r="M68" s="12"/>
      <c r="N68" s="2"/>
      <c r="O68" s="12"/>
      <c r="P68" s="12"/>
      <c r="Q68" s="12"/>
      <c r="R68" s="2"/>
      <c r="S68" s="12"/>
      <c r="T68" s="2"/>
      <c r="U68" s="12"/>
      <c r="V68" s="2"/>
      <c r="W68" s="12"/>
      <c r="X68" s="2"/>
      <c r="Y68" s="12"/>
      <c r="Z68" s="12"/>
      <c r="AA68" s="12"/>
      <c r="AB68" s="12"/>
      <c r="AC68" s="12"/>
      <c r="AD68" s="12"/>
    </row>
    <row r="69" ht="15.75" customHeight="1">
      <c r="A69" s="12"/>
      <c r="B69" s="12"/>
      <c r="C69" s="12"/>
      <c r="D69" s="2"/>
      <c r="E69" s="2"/>
      <c r="F69" s="12"/>
      <c r="G69" s="12"/>
      <c r="H69" s="2"/>
      <c r="I69" s="12"/>
      <c r="J69" s="2"/>
      <c r="K69" s="12"/>
      <c r="L69" s="2"/>
      <c r="M69" s="12"/>
      <c r="N69" s="2"/>
      <c r="O69" s="12"/>
      <c r="P69" s="12"/>
      <c r="Q69" s="12"/>
      <c r="R69" s="2"/>
      <c r="S69" s="12"/>
      <c r="T69" s="2"/>
      <c r="U69" s="12"/>
      <c r="V69" s="2"/>
      <c r="W69" s="12"/>
      <c r="X69" s="2"/>
      <c r="Y69" s="12"/>
      <c r="Z69" s="12"/>
      <c r="AA69" s="12"/>
      <c r="AB69" s="12"/>
      <c r="AC69" s="12"/>
      <c r="AD69" s="12"/>
    </row>
    <row r="70" ht="15.75" customHeight="1">
      <c r="A70" s="12"/>
      <c r="B70" s="12"/>
      <c r="C70" s="12"/>
      <c r="D70" s="2"/>
      <c r="E70" s="2"/>
      <c r="F70" s="12"/>
      <c r="G70" s="12"/>
      <c r="H70" s="2"/>
      <c r="I70" s="12"/>
      <c r="J70" s="2"/>
      <c r="K70" s="12"/>
      <c r="L70" s="2"/>
      <c r="M70" s="12"/>
      <c r="N70" s="2"/>
      <c r="O70" s="12"/>
      <c r="P70" s="12"/>
      <c r="Q70" s="12"/>
      <c r="R70" s="2"/>
      <c r="S70" s="12"/>
      <c r="T70" s="2"/>
      <c r="U70" s="12"/>
      <c r="V70" s="2"/>
      <c r="W70" s="12"/>
      <c r="X70" s="2"/>
      <c r="Y70" s="12"/>
      <c r="Z70" s="12"/>
      <c r="AA70" s="12"/>
      <c r="AB70" s="12"/>
      <c r="AC70" s="12"/>
      <c r="AD70" s="12"/>
    </row>
    <row r="71" ht="15.75" customHeight="1">
      <c r="A71" s="12"/>
      <c r="B71" s="12"/>
      <c r="C71" s="12"/>
      <c r="D71" s="2"/>
      <c r="E71" s="2"/>
      <c r="F71" s="12"/>
      <c r="G71" s="12"/>
      <c r="H71" s="2"/>
      <c r="I71" s="12"/>
      <c r="J71" s="2"/>
      <c r="K71" s="12"/>
      <c r="L71" s="2"/>
      <c r="M71" s="12"/>
      <c r="N71" s="2"/>
      <c r="O71" s="12"/>
      <c r="P71" s="12"/>
      <c r="Q71" s="12"/>
      <c r="R71" s="2"/>
      <c r="S71" s="12"/>
      <c r="T71" s="2"/>
      <c r="U71" s="12"/>
      <c r="V71" s="2"/>
      <c r="W71" s="12"/>
      <c r="X71" s="2"/>
      <c r="Y71" s="12"/>
      <c r="Z71" s="12"/>
      <c r="AA71" s="12"/>
      <c r="AB71" s="12"/>
      <c r="AC71" s="12"/>
      <c r="AD71" s="12"/>
    </row>
    <row r="72" ht="15.75" customHeight="1">
      <c r="A72" s="12"/>
      <c r="B72" s="12"/>
      <c r="C72" s="12"/>
      <c r="D72" s="2"/>
      <c r="E72" s="2"/>
      <c r="F72" s="12"/>
      <c r="G72" s="12"/>
      <c r="H72" s="2"/>
      <c r="I72" s="12"/>
      <c r="J72" s="2"/>
      <c r="K72" s="12"/>
      <c r="L72" s="2"/>
      <c r="M72" s="12"/>
      <c r="N72" s="2"/>
      <c r="O72" s="12"/>
      <c r="P72" s="12"/>
      <c r="Q72" s="12"/>
      <c r="R72" s="2"/>
      <c r="S72" s="12"/>
      <c r="T72" s="2"/>
      <c r="U72" s="12"/>
      <c r="V72" s="2"/>
      <c r="W72" s="12"/>
      <c r="X72" s="2"/>
      <c r="Y72" s="12"/>
      <c r="Z72" s="12"/>
      <c r="AA72" s="12"/>
      <c r="AB72" s="12"/>
      <c r="AC72" s="12"/>
      <c r="AD72" s="12"/>
    </row>
    <row r="73" ht="15.75" customHeight="1">
      <c r="A73" s="12"/>
      <c r="B73" s="12"/>
      <c r="C73" s="12"/>
      <c r="D73" s="2"/>
      <c r="E73" s="2"/>
      <c r="F73" s="12"/>
      <c r="G73" s="12"/>
      <c r="H73" s="2"/>
      <c r="I73" s="12"/>
      <c r="J73" s="2"/>
      <c r="K73" s="12"/>
      <c r="L73" s="2"/>
      <c r="M73" s="12"/>
      <c r="N73" s="2"/>
      <c r="O73" s="12"/>
      <c r="P73" s="12"/>
      <c r="Q73" s="12"/>
      <c r="R73" s="2"/>
      <c r="S73" s="12"/>
      <c r="T73" s="2"/>
      <c r="U73" s="12"/>
      <c r="V73" s="2"/>
      <c r="W73" s="12"/>
      <c r="X73" s="2"/>
      <c r="Y73" s="12"/>
      <c r="Z73" s="12"/>
      <c r="AA73" s="12"/>
      <c r="AB73" s="12"/>
      <c r="AC73" s="12"/>
      <c r="AD73" s="12"/>
    </row>
    <row r="74" ht="15.75" customHeight="1">
      <c r="A74" s="12"/>
      <c r="B74" s="12"/>
      <c r="C74" s="12"/>
      <c r="D74" s="2"/>
      <c r="E74" s="2"/>
      <c r="F74" s="12"/>
      <c r="G74" s="12"/>
      <c r="H74" s="2"/>
      <c r="I74" s="12"/>
      <c r="J74" s="2"/>
      <c r="K74" s="12"/>
      <c r="L74" s="2"/>
      <c r="M74" s="12"/>
      <c r="N74" s="2"/>
      <c r="O74" s="12"/>
      <c r="P74" s="12"/>
      <c r="Q74" s="12"/>
      <c r="R74" s="2"/>
      <c r="S74" s="12"/>
      <c r="T74" s="2"/>
      <c r="U74" s="12"/>
      <c r="V74" s="2"/>
      <c r="W74" s="12"/>
      <c r="X74" s="2"/>
      <c r="Y74" s="12"/>
      <c r="Z74" s="12"/>
      <c r="AA74" s="12"/>
      <c r="AB74" s="12"/>
      <c r="AC74" s="12"/>
      <c r="AD74" s="12"/>
    </row>
    <row r="75" ht="15.75" customHeight="1">
      <c r="A75" s="12"/>
      <c r="B75" s="12"/>
      <c r="C75" s="12"/>
      <c r="D75" s="2"/>
      <c r="E75" s="2"/>
      <c r="F75" s="12"/>
      <c r="G75" s="12"/>
      <c r="H75" s="2"/>
      <c r="I75" s="12"/>
      <c r="J75" s="2"/>
      <c r="K75" s="12"/>
      <c r="L75" s="2"/>
      <c r="M75" s="12"/>
      <c r="N75" s="2"/>
      <c r="O75" s="12"/>
      <c r="P75" s="12"/>
      <c r="Q75" s="12"/>
      <c r="R75" s="2"/>
      <c r="S75" s="12"/>
      <c r="T75" s="2"/>
      <c r="U75" s="12"/>
      <c r="V75" s="2"/>
      <c r="W75" s="12"/>
      <c r="X75" s="2"/>
      <c r="Y75" s="12"/>
      <c r="Z75" s="12"/>
      <c r="AA75" s="12"/>
      <c r="AB75" s="12"/>
      <c r="AC75" s="12"/>
      <c r="AD75" s="12"/>
    </row>
    <row r="76" ht="15.75" customHeight="1">
      <c r="A76" s="12"/>
      <c r="B76" s="12"/>
      <c r="C76" s="12"/>
      <c r="D76" s="2"/>
      <c r="E76" s="2"/>
      <c r="F76" s="12"/>
      <c r="G76" s="12"/>
      <c r="H76" s="2"/>
      <c r="I76" s="12"/>
      <c r="J76" s="2"/>
      <c r="K76" s="12"/>
      <c r="L76" s="2"/>
      <c r="M76" s="12"/>
      <c r="N76" s="2"/>
      <c r="O76" s="12"/>
      <c r="P76" s="12"/>
      <c r="Q76" s="12"/>
      <c r="R76" s="2"/>
      <c r="S76" s="12"/>
      <c r="T76" s="2"/>
      <c r="U76" s="12"/>
      <c r="V76" s="2"/>
      <c r="W76" s="12"/>
      <c r="X76" s="2"/>
      <c r="Y76" s="12"/>
      <c r="Z76" s="12"/>
      <c r="AA76" s="12"/>
      <c r="AB76" s="12"/>
      <c r="AC76" s="12"/>
      <c r="AD76" s="12"/>
    </row>
    <row r="77" ht="15.75" customHeight="1">
      <c r="A77" s="12"/>
      <c r="B77" s="12"/>
      <c r="C77" s="12"/>
      <c r="D77" s="2"/>
      <c r="E77" s="2"/>
      <c r="F77" s="12"/>
      <c r="G77" s="12"/>
      <c r="H77" s="2"/>
      <c r="I77" s="12"/>
      <c r="J77" s="2"/>
      <c r="K77" s="12"/>
      <c r="L77" s="2"/>
      <c r="M77" s="12"/>
      <c r="N77" s="2"/>
      <c r="O77" s="12"/>
      <c r="P77" s="12"/>
      <c r="Q77" s="12"/>
      <c r="R77" s="2"/>
      <c r="S77" s="12"/>
      <c r="T77" s="2"/>
      <c r="U77" s="12"/>
      <c r="V77" s="2"/>
      <c r="W77" s="12"/>
      <c r="X77" s="2"/>
      <c r="Y77" s="12"/>
      <c r="Z77" s="12"/>
      <c r="AA77" s="12"/>
      <c r="AB77" s="12"/>
      <c r="AC77" s="12"/>
      <c r="AD77" s="12"/>
    </row>
    <row r="78" ht="15.75" customHeight="1">
      <c r="A78" s="12"/>
      <c r="B78" s="12"/>
      <c r="C78" s="12"/>
      <c r="D78" s="2"/>
      <c r="E78" s="2"/>
      <c r="F78" s="12"/>
      <c r="G78" s="12"/>
      <c r="H78" s="2"/>
      <c r="I78" s="12"/>
      <c r="J78" s="2"/>
      <c r="K78" s="12"/>
      <c r="L78" s="2"/>
      <c r="M78" s="12"/>
      <c r="N78" s="2"/>
      <c r="O78" s="12"/>
      <c r="P78" s="12"/>
      <c r="Q78" s="12"/>
      <c r="R78" s="2"/>
      <c r="S78" s="12"/>
      <c r="T78" s="2"/>
      <c r="U78" s="12"/>
      <c r="V78" s="2"/>
      <c r="W78" s="12"/>
      <c r="X78" s="2"/>
      <c r="Y78" s="12"/>
      <c r="Z78" s="12"/>
      <c r="AA78" s="12"/>
      <c r="AB78" s="12"/>
      <c r="AC78" s="12"/>
      <c r="AD78" s="12"/>
    </row>
    <row r="79" ht="15.75" customHeight="1">
      <c r="A79" s="12"/>
      <c r="B79" s="12"/>
      <c r="C79" s="12"/>
      <c r="D79" s="2"/>
      <c r="E79" s="2"/>
      <c r="F79" s="12"/>
      <c r="G79" s="12"/>
      <c r="H79" s="2"/>
      <c r="I79" s="12"/>
      <c r="J79" s="2"/>
      <c r="K79" s="12"/>
      <c r="L79" s="2"/>
      <c r="M79" s="12"/>
      <c r="N79" s="2"/>
      <c r="O79" s="12"/>
      <c r="P79" s="12"/>
      <c r="Q79" s="12"/>
      <c r="R79" s="2"/>
      <c r="S79" s="12"/>
      <c r="T79" s="2"/>
      <c r="U79" s="12"/>
      <c r="V79" s="2"/>
      <c r="W79" s="12"/>
      <c r="X79" s="2"/>
      <c r="Y79" s="12"/>
      <c r="Z79" s="12"/>
      <c r="AA79" s="12"/>
      <c r="AB79" s="12"/>
      <c r="AC79" s="12"/>
      <c r="AD79" s="12"/>
    </row>
    <row r="80" ht="15.75" customHeight="1">
      <c r="A80" s="12"/>
      <c r="B80" s="12"/>
      <c r="C80" s="12"/>
      <c r="D80" s="2"/>
      <c r="E80" s="2"/>
      <c r="F80" s="12"/>
      <c r="G80" s="12"/>
      <c r="H80" s="2"/>
      <c r="I80" s="12"/>
      <c r="J80" s="2"/>
      <c r="K80" s="12"/>
      <c r="L80" s="2"/>
      <c r="M80" s="12"/>
      <c r="N80" s="2"/>
      <c r="O80" s="12"/>
      <c r="P80" s="12"/>
      <c r="Q80" s="12"/>
      <c r="R80" s="2"/>
      <c r="S80" s="12"/>
      <c r="T80" s="2"/>
      <c r="U80" s="12"/>
      <c r="V80" s="2"/>
      <c r="W80" s="12"/>
      <c r="X80" s="2"/>
      <c r="Y80" s="12"/>
      <c r="Z80" s="12"/>
      <c r="AA80" s="12"/>
      <c r="AB80" s="12"/>
      <c r="AC80" s="12"/>
      <c r="AD80" s="12"/>
    </row>
    <row r="81" ht="15.75" customHeight="1">
      <c r="A81" s="12"/>
      <c r="B81" s="12"/>
      <c r="C81" s="12"/>
      <c r="D81" s="2"/>
      <c r="E81" s="2"/>
      <c r="F81" s="12"/>
      <c r="G81" s="12"/>
      <c r="H81" s="2"/>
      <c r="I81" s="12"/>
      <c r="J81" s="2"/>
      <c r="K81" s="12"/>
      <c r="L81" s="2"/>
      <c r="M81" s="12"/>
      <c r="N81" s="2"/>
      <c r="O81" s="12"/>
      <c r="P81" s="12"/>
      <c r="Q81" s="12"/>
      <c r="R81" s="2"/>
      <c r="S81" s="12"/>
      <c r="T81" s="2"/>
      <c r="U81" s="12"/>
      <c r="V81" s="2"/>
      <c r="W81" s="12"/>
      <c r="X81" s="2"/>
      <c r="Y81" s="12"/>
      <c r="Z81" s="12"/>
      <c r="AA81" s="12"/>
      <c r="AB81" s="12"/>
      <c r="AC81" s="12"/>
      <c r="AD81" s="12"/>
    </row>
    <row r="82" ht="15.75" customHeight="1">
      <c r="A82" s="12"/>
      <c r="B82" s="12"/>
      <c r="C82" s="12"/>
      <c r="D82" s="2"/>
      <c r="E82" s="2"/>
      <c r="F82" s="12"/>
      <c r="G82" s="12"/>
      <c r="H82" s="2"/>
      <c r="I82" s="12"/>
      <c r="J82" s="2"/>
      <c r="K82" s="12"/>
      <c r="L82" s="2"/>
      <c r="M82" s="12"/>
      <c r="N82" s="2"/>
      <c r="O82" s="12"/>
      <c r="P82" s="12"/>
      <c r="Q82" s="12"/>
      <c r="R82" s="2"/>
      <c r="S82" s="12"/>
      <c r="T82" s="2"/>
      <c r="U82" s="12"/>
      <c r="V82" s="2"/>
      <c r="W82" s="12"/>
      <c r="X82" s="2"/>
      <c r="Y82" s="12"/>
      <c r="Z82" s="12"/>
      <c r="AA82" s="12"/>
      <c r="AB82" s="12"/>
      <c r="AC82" s="12"/>
      <c r="AD82" s="12"/>
    </row>
    <row r="83" ht="15.75" customHeight="1">
      <c r="A83" s="12"/>
      <c r="B83" s="12"/>
      <c r="C83" s="12"/>
      <c r="D83" s="2"/>
      <c r="E83" s="2"/>
      <c r="F83" s="12"/>
      <c r="G83" s="12"/>
      <c r="H83" s="2"/>
      <c r="I83" s="12"/>
      <c r="J83" s="2"/>
      <c r="K83" s="12"/>
      <c r="L83" s="2"/>
      <c r="M83" s="12"/>
      <c r="N83" s="2"/>
      <c r="O83" s="12"/>
      <c r="P83" s="12"/>
      <c r="Q83" s="12"/>
      <c r="R83" s="2"/>
      <c r="S83" s="12"/>
      <c r="T83" s="2"/>
      <c r="U83" s="12"/>
      <c r="V83" s="2"/>
      <c r="W83" s="12"/>
      <c r="X83" s="2"/>
      <c r="Y83" s="12"/>
      <c r="Z83" s="12"/>
      <c r="AA83" s="12"/>
      <c r="AB83" s="12"/>
      <c r="AC83" s="12"/>
      <c r="AD83" s="12"/>
    </row>
    <row r="84" ht="15.75" customHeight="1">
      <c r="A84" s="12"/>
      <c r="B84" s="12"/>
      <c r="C84" s="12"/>
      <c r="D84" s="2"/>
      <c r="E84" s="2"/>
      <c r="F84" s="12"/>
      <c r="G84" s="12"/>
      <c r="H84" s="2"/>
      <c r="I84" s="12"/>
      <c r="J84" s="2"/>
      <c r="K84" s="12"/>
      <c r="L84" s="2"/>
      <c r="M84" s="12"/>
      <c r="N84" s="2"/>
      <c r="O84" s="12"/>
      <c r="P84" s="12"/>
      <c r="Q84" s="12"/>
      <c r="R84" s="2"/>
      <c r="S84" s="12"/>
      <c r="T84" s="2"/>
      <c r="U84" s="12"/>
      <c r="V84" s="2"/>
      <c r="W84" s="12"/>
      <c r="X84" s="2"/>
      <c r="Y84" s="12"/>
      <c r="Z84" s="12"/>
      <c r="AA84" s="12"/>
      <c r="AB84" s="12"/>
      <c r="AC84" s="12"/>
      <c r="AD84" s="12"/>
    </row>
    <row r="85" ht="15.75" customHeight="1">
      <c r="A85" s="12"/>
      <c r="B85" s="12"/>
      <c r="C85" s="12"/>
      <c r="D85" s="2"/>
      <c r="E85" s="2"/>
      <c r="F85" s="12"/>
      <c r="G85" s="12"/>
      <c r="H85" s="2"/>
      <c r="I85" s="12"/>
      <c r="J85" s="2"/>
      <c r="K85" s="12"/>
      <c r="L85" s="2"/>
      <c r="M85" s="12"/>
      <c r="N85" s="2"/>
      <c r="O85" s="12"/>
      <c r="P85" s="12"/>
      <c r="Q85" s="12"/>
      <c r="R85" s="2"/>
      <c r="S85" s="12"/>
      <c r="T85" s="2"/>
      <c r="U85" s="12"/>
      <c r="V85" s="2"/>
      <c r="W85" s="12"/>
      <c r="X85" s="2"/>
      <c r="Y85" s="12"/>
      <c r="Z85" s="12"/>
      <c r="AA85" s="12"/>
      <c r="AB85" s="12"/>
      <c r="AC85" s="12"/>
      <c r="AD85" s="12"/>
    </row>
    <row r="86" ht="15.75" customHeight="1">
      <c r="A86" s="12"/>
      <c r="B86" s="12"/>
      <c r="C86" s="12"/>
      <c r="D86" s="2"/>
      <c r="E86" s="2"/>
      <c r="F86" s="12"/>
      <c r="G86" s="12"/>
      <c r="H86" s="2"/>
      <c r="I86" s="12"/>
      <c r="J86" s="2"/>
      <c r="K86" s="12"/>
      <c r="L86" s="2"/>
      <c r="M86" s="12"/>
      <c r="N86" s="2"/>
      <c r="O86" s="12"/>
      <c r="P86" s="12"/>
      <c r="Q86" s="12"/>
      <c r="R86" s="2"/>
      <c r="S86" s="12"/>
      <c r="T86" s="2"/>
      <c r="U86" s="12"/>
      <c r="V86" s="2"/>
      <c r="W86" s="12"/>
      <c r="X86" s="2"/>
      <c r="Y86" s="12"/>
      <c r="Z86" s="12"/>
      <c r="AA86" s="12"/>
      <c r="AB86" s="12"/>
      <c r="AC86" s="12"/>
      <c r="AD86" s="12"/>
    </row>
    <row r="87" ht="15.75" customHeight="1">
      <c r="A87" s="12"/>
      <c r="B87" s="12"/>
      <c r="C87" s="12"/>
      <c r="D87" s="2"/>
      <c r="E87" s="2"/>
      <c r="F87" s="12"/>
      <c r="G87" s="12"/>
      <c r="H87" s="2"/>
      <c r="I87" s="12"/>
      <c r="J87" s="2"/>
      <c r="K87" s="12"/>
      <c r="L87" s="2"/>
      <c r="M87" s="12"/>
      <c r="N87" s="2"/>
      <c r="O87" s="12"/>
      <c r="P87" s="12"/>
      <c r="Q87" s="12"/>
      <c r="R87" s="2"/>
      <c r="S87" s="12"/>
      <c r="T87" s="2"/>
      <c r="U87" s="12"/>
      <c r="V87" s="2"/>
      <c r="W87" s="12"/>
      <c r="X87" s="2"/>
      <c r="Y87" s="12"/>
      <c r="Z87" s="12"/>
      <c r="AA87" s="12"/>
      <c r="AB87" s="12"/>
      <c r="AC87" s="12"/>
      <c r="AD87" s="12"/>
    </row>
    <row r="88" ht="15.75" customHeight="1">
      <c r="A88" s="12"/>
      <c r="B88" s="12"/>
      <c r="C88" s="12"/>
      <c r="D88" s="2"/>
      <c r="E88" s="2"/>
      <c r="F88" s="12"/>
      <c r="G88" s="12"/>
      <c r="H88" s="2"/>
      <c r="I88" s="12"/>
      <c r="J88" s="2"/>
      <c r="K88" s="12"/>
      <c r="L88" s="2"/>
      <c r="M88" s="12"/>
      <c r="N88" s="2"/>
      <c r="O88" s="12"/>
      <c r="P88" s="12"/>
      <c r="Q88" s="12"/>
      <c r="R88" s="2"/>
      <c r="S88" s="12"/>
      <c r="T88" s="2"/>
      <c r="U88" s="12"/>
      <c r="V88" s="2"/>
      <c r="W88" s="12"/>
      <c r="X88" s="2"/>
      <c r="Y88" s="12"/>
      <c r="Z88" s="12"/>
      <c r="AA88" s="12"/>
      <c r="AB88" s="12"/>
      <c r="AC88" s="12"/>
      <c r="AD88" s="12"/>
    </row>
    <row r="89" ht="15.75" customHeight="1">
      <c r="A89" s="12"/>
      <c r="B89" s="12"/>
      <c r="C89" s="12"/>
      <c r="D89" s="2"/>
      <c r="E89" s="2"/>
      <c r="F89" s="12"/>
      <c r="G89" s="12"/>
      <c r="H89" s="2"/>
      <c r="I89" s="12"/>
      <c r="J89" s="2"/>
      <c r="K89" s="12"/>
      <c r="L89" s="2"/>
      <c r="M89" s="12"/>
      <c r="N89" s="2"/>
      <c r="O89" s="12"/>
      <c r="P89" s="12"/>
      <c r="Q89" s="12"/>
      <c r="R89" s="2"/>
      <c r="S89" s="12"/>
      <c r="T89" s="2"/>
      <c r="U89" s="12"/>
      <c r="V89" s="2"/>
      <c r="W89" s="12"/>
      <c r="X89" s="2"/>
      <c r="Y89" s="12"/>
      <c r="Z89" s="12"/>
      <c r="AA89" s="12"/>
      <c r="AB89" s="12"/>
      <c r="AC89" s="12"/>
      <c r="AD89" s="12"/>
    </row>
    <row r="90" ht="15.75" customHeight="1">
      <c r="A90" s="12"/>
      <c r="B90" s="12"/>
      <c r="C90" s="12"/>
      <c r="D90" s="2"/>
      <c r="E90" s="2"/>
      <c r="F90" s="12"/>
      <c r="G90" s="12"/>
      <c r="H90" s="2"/>
      <c r="I90" s="12"/>
      <c r="J90" s="2"/>
      <c r="K90" s="12"/>
      <c r="L90" s="2"/>
      <c r="M90" s="12"/>
      <c r="N90" s="2"/>
      <c r="O90" s="12"/>
      <c r="P90" s="12"/>
      <c r="Q90" s="12"/>
      <c r="R90" s="2"/>
      <c r="S90" s="12"/>
      <c r="T90" s="2"/>
      <c r="U90" s="12"/>
      <c r="V90" s="2"/>
      <c r="W90" s="12"/>
      <c r="X90" s="2"/>
      <c r="Y90" s="12"/>
      <c r="Z90" s="12"/>
      <c r="AA90" s="12"/>
      <c r="AB90" s="12"/>
      <c r="AC90" s="12"/>
      <c r="AD90" s="12"/>
    </row>
    <row r="91" ht="15.75" customHeight="1">
      <c r="A91" s="12"/>
      <c r="B91" s="12"/>
      <c r="C91" s="12"/>
      <c r="D91" s="2"/>
      <c r="E91" s="2"/>
      <c r="F91" s="12"/>
      <c r="G91" s="12"/>
      <c r="H91" s="2"/>
      <c r="I91" s="12"/>
      <c r="J91" s="2"/>
      <c r="K91" s="12"/>
      <c r="L91" s="2"/>
      <c r="M91" s="12"/>
      <c r="N91" s="2"/>
      <c r="O91" s="12"/>
      <c r="P91" s="12"/>
      <c r="Q91" s="12"/>
      <c r="R91" s="2"/>
      <c r="S91" s="12"/>
      <c r="T91" s="2"/>
      <c r="U91" s="12"/>
      <c r="V91" s="2"/>
      <c r="W91" s="12"/>
      <c r="X91" s="2"/>
      <c r="Y91" s="12"/>
      <c r="Z91" s="12"/>
      <c r="AA91" s="12"/>
      <c r="AB91" s="12"/>
      <c r="AC91" s="12"/>
      <c r="AD91" s="12"/>
    </row>
    <row r="92" ht="15.75" customHeight="1">
      <c r="A92" s="12"/>
      <c r="B92" s="12"/>
      <c r="C92" s="12"/>
      <c r="D92" s="2"/>
      <c r="E92" s="2"/>
      <c r="F92" s="12"/>
      <c r="G92" s="12"/>
      <c r="H92" s="2"/>
      <c r="I92" s="12"/>
      <c r="J92" s="2"/>
      <c r="K92" s="12"/>
      <c r="L92" s="2"/>
      <c r="M92" s="12"/>
      <c r="N92" s="2"/>
      <c r="O92" s="12"/>
      <c r="P92" s="12"/>
      <c r="Q92" s="12"/>
      <c r="R92" s="2"/>
      <c r="S92" s="12"/>
      <c r="T92" s="2"/>
      <c r="U92" s="12"/>
      <c r="V92" s="2"/>
      <c r="W92" s="12"/>
      <c r="X92" s="2"/>
      <c r="Y92" s="12"/>
      <c r="Z92" s="12"/>
      <c r="AA92" s="12"/>
      <c r="AB92" s="12"/>
      <c r="AC92" s="12"/>
      <c r="AD92" s="12"/>
    </row>
    <row r="93" ht="15.75" customHeight="1">
      <c r="A93" s="12"/>
      <c r="B93" s="12"/>
      <c r="C93" s="12"/>
      <c r="D93" s="2"/>
      <c r="E93" s="2"/>
      <c r="F93" s="12"/>
      <c r="G93" s="12"/>
      <c r="H93" s="2"/>
      <c r="I93" s="12"/>
      <c r="J93" s="2"/>
      <c r="K93" s="12"/>
      <c r="L93" s="2"/>
      <c r="M93" s="12"/>
      <c r="N93" s="2"/>
      <c r="O93" s="12"/>
      <c r="P93" s="12"/>
      <c r="Q93" s="12"/>
      <c r="R93" s="2"/>
      <c r="S93" s="12"/>
      <c r="T93" s="2"/>
      <c r="U93" s="12"/>
      <c r="V93" s="2"/>
      <c r="W93" s="12"/>
      <c r="X93" s="2"/>
      <c r="Y93" s="12"/>
      <c r="Z93" s="12"/>
      <c r="AA93" s="12"/>
      <c r="AB93" s="12"/>
      <c r="AC93" s="12"/>
      <c r="AD93" s="12"/>
    </row>
    <row r="94" ht="15.75" customHeight="1">
      <c r="A94" s="12"/>
      <c r="B94" s="12"/>
      <c r="C94" s="12"/>
      <c r="D94" s="2"/>
      <c r="E94" s="2"/>
      <c r="F94" s="12"/>
      <c r="G94" s="12"/>
      <c r="H94" s="2"/>
      <c r="I94" s="12"/>
      <c r="J94" s="2"/>
      <c r="K94" s="12"/>
      <c r="L94" s="2"/>
      <c r="M94" s="12"/>
      <c r="N94" s="2"/>
      <c r="O94" s="12"/>
      <c r="P94" s="12"/>
      <c r="Q94" s="12"/>
      <c r="R94" s="2"/>
      <c r="S94" s="12"/>
      <c r="T94" s="2"/>
      <c r="U94" s="12"/>
      <c r="V94" s="2"/>
      <c r="W94" s="12"/>
      <c r="X94" s="2"/>
      <c r="Y94" s="12"/>
      <c r="Z94" s="12"/>
      <c r="AA94" s="12"/>
      <c r="AB94" s="12"/>
      <c r="AC94" s="12"/>
      <c r="AD94" s="12"/>
    </row>
    <row r="95" ht="15.75" customHeight="1">
      <c r="A95" s="12"/>
      <c r="B95" s="12"/>
      <c r="C95" s="12"/>
      <c r="D95" s="2"/>
      <c r="E95" s="2"/>
      <c r="F95" s="12"/>
      <c r="G95" s="12"/>
      <c r="H95" s="2"/>
      <c r="I95" s="12"/>
      <c r="J95" s="2"/>
      <c r="K95" s="12"/>
      <c r="L95" s="2"/>
      <c r="M95" s="12"/>
      <c r="N95" s="2"/>
      <c r="O95" s="12"/>
      <c r="P95" s="12"/>
      <c r="Q95" s="12"/>
      <c r="R95" s="2"/>
      <c r="S95" s="12"/>
      <c r="T95" s="2"/>
      <c r="U95" s="12"/>
      <c r="V95" s="2"/>
      <c r="W95" s="12"/>
      <c r="X95" s="2"/>
      <c r="Y95" s="12"/>
      <c r="Z95" s="12"/>
      <c r="AA95" s="12"/>
      <c r="AB95" s="12"/>
      <c r="AC95" s="12"/>
      <c r="AD95" s="12"/>
    </row>
    <row r="96" ht="15.75" customHeight="1">
      <c r="A96" s="12"/>
      <c r="B96" s="12"/>
      <c r="C96" s="12"/>
      <c r="D96" s="2"/>
      <c r="E96" s="2"/>
      <c r="F96" s="12"/>
      <c r="G96" s="12"/>
      <c r="H96" s="2"/>
      <c r="I96" s="12"/>
      <c r="J96" s="2"/>
      <c r="K96" s="12"/>
      <c r="L96" s="2"/>
      <c r="M96" s="12"/>
      <c r="N96" s="2"/>
      <c r="O96" s="12"/>
      <c r="P96" s="12"/>
      <c r="Q96" s="12"/>
      <c r="R96" s="2"/>
      <c r="S96" s="12"/>
      <c r="T96" s="2"/>
      <c r="U96" s="12"/>
      <c r="V96" s="2"/>
      <c r="W96" s="12"/>
      <c r="X96" s="2"/>
      <c r="Y96" s="12"/>
      <c r="Z96" s="12"/>
      <c r="AA96" s="12"/>
      <c r="AB96" s="12"/>
      <c r="AC96" s="12"/>
      <c r="AD96" s="12"/>
    </row>
    <row r="97" ht="15.75" customHeight="1">
      <c r="A97" s="12"/>
      <c r="B97" s="12"/>
      <c r="C97" s="12"/>
      <c r="D97" s="2"/>
      <c r="E97" s="2"/>
      <c r="F97" s="12"/>
      <c r="G97" s="12"/>
      <c r="H97" s="2"/>
      <c r="I97" s="12"/>
      <c r="J97" s="2"/>
      <c r="K97" s="12"/>
      <c r="L97" s="2"/>
      <c r="M97" s="12"/>
      <c r="N97" s="2"/>
      <c r="O97" s="12"/>
      <c r="P97" s="12"/>
      <c r="Q97" s="12"/>
      <c r="R97" s="2"/>
      <c r="S97" s="12"/>
      <c r="T97" s="2"/>
      <c r="U97" s="12"/>
      <c r="V97" s="2"/>
      <c r="W97" s="12"/>
      <c r="X97" s="2"/>
      <c r="Y97" s="12"/>
      <c r="Z97" s="12"/>
      <c r="AA97" s="12"/>
      <c r="AB97" s="12"/>
      <c r="AC97" s="12"/>
      <c r="AD97" s="12"/>
    </row>
    <row r="98" ht="15.75" customHeight="1">
      <c r="A98" s="12"/>
      <c r="B98" s="12"/>
      <c r="C98" s="12"/>
      <c r="D98" s="2"/>
      <c r="E98" s="2"/>
      <c r="F98" s="12"/>
      <c r="G98" s="12"/>
      <c r="H98" s="2"/>
      <c r="I98" s="12"/>
      <c r="J98" s="2"/>
      <c r="K98" s="12"/>
      <c r="L98" s="2"/>
      <c r="M98" s="12"/>
      <c r="N98" s="2"/>
      <c r="O98" s="12"/>
      <c r="P98" s="12"/>
      <c r="Q98" s="12"/>
      <c r="R98" s="2"/>
      <c r="S98" s="12"/>
      <c r="T98" s="2"/>
      <c r="U98" s="12"/>
      <c r="V98" s="2"/>
      <c r="W98" s="12"/>
      <c r="X98" s="2"/>
      <c r="Y98" s="12"/>
      <c r="Z98" s="12"/>
      <c r="AA98" s="12"/>
      <c r="AB98" s="12"/>
      <c r="AC98" s="12"/>
      <c r="AD98" s="12"/>
    </row>
    <row r="99" ht="15.75" customHeight="1">
      <c r="A99" s="12"/>
      <c r="B99" s="12"/>
      <c r="C99" s="12"/>
      <c r="D99" s="2"/>
      <c r="E99" s="2"/>
      <c r="F99" s="12"/>
      <c r="G99" s="12"/>
      <c r="H99" s="2"/>
      <c r="I99" s="12"/>
      <c r="J99" s="2"/>
      <c r="K99" s="12"/>
      <c r="L99" s="2"/>
      <c r="M99" s="12"/>
      <c r="N99" s="2"/>
      <c r="O99" s="12"/>
      <c r="P99" s="12"/>
      <c r="Q99" s="12"/>
      <c r="R99" s="2"/>
      <c r="S99" s="12"/>
      <c r="T99" s="2"/>
      <c r="U99" s="12"/>
      <c r="V99" s="2"/>
      <c r="W99" s="12"/>
      <c r="X99" s="2"/>
      <c r="Y99" s="12"/>
      <c r="Z99" s="12"/>
      <c r="AA99" s="12"/>
      <c r="AB99" s="12"/>
      <c r="AC99" s="12"/>
      <c r="AD99" s="12"/>
    </row>
    <row r="100" ht="15.75" customHeight="1">
      <c r="A100" s="12"/>
      <c r="B100" s="12"/>
      <c r="C100" s="12"/>
      <c r="D100" s="2"/>
      <c r="E100" s="2"/>
      <c r="F100" s="12"/>
      <c r="G100" s="12"/>
      <c r="H100" s="2"/>
      <c r="I100" s="12"/>
      <c r="J100" s="2"/>
      <c r="K100" s="12"/>
      <c r="L100" s="2"/>
      <c r="M100" s="12"/>
      <c r="N100" s="2"/>
      <c r="O100" s="12"/>
      <c r="P100" s="12"/>
      <c r="Q100" s="12"/>
      <c r="R100" s="2"/>
      <c r="S100" s="12"/>
      <c r="T100" s="2"/>
      <c r="U100" s="12"/>
      <c r="V100" s="2"/>
      <c r="W100" s="12"/>
      <c r="X100" s="2"/>
      <c r="Y100" s="12"/>
      <c r="Z100" s="12"/>
      <c r="AA100" s="12"/>
      <c r="AB100" s="12"/>
      <c r="AC100" s="12"/>
      <c r="AD100" s="12"/>
    </row>
    <row r="101" ht="15.75" customHeight="1">
      <c r="A101" s="12"/>
      <c r="B101" s="12"/>
      <c r="C101" s="12"/>
      <c r="D101" s="2"/>
      <c r="E101" s="2"/>
      <c r="F101" s="12"/>
      <c r="G101" s="12"/>
      <c r="H101" s="2"/>
      <c r="I101" s="12"/>
      <c r="J101" s="2"/>
      <c r="K101" s="12"/>
      <c r="L101" s="2"/>
      <c r="M101" s="12"/>
      <c r="N101" s="2"/>
      <c r="O101" s="12"/>
      <c r="P101" s="12"/>
      <c r="Q101" s="12"/>
      <c r="R101" s="2"/>
      <c r="S101" s="12"/>
      <c r="T101" s="2"/>
      <c r="U101" s="12"/>
      <c r="V101" s="2"/>
      <c r="W101" s="12"/>
      <c r="X101" s="2"/>
      <c r="Y101" s="12"/>
      <c r="Z101" s="12"/>
      <c r="AA101" s="12"/>
      <c r="AB101" s="12"/>
      <c r="AC101" s="12"/>
      <c r="AD101" s="12"/>
    </row>
    <row r="102" ht="15.75" customHeight="1">
      <c r="A102" s="12"/>
      <c r="B102" s="12"/>
      <c r="C102" s="12"/>
      <c r="D102" s="2"/>
      <c r="E102" s="2"/>
      <c r="F102" s="12"/>
      <c r="G102" s="12"/>
      <c r="H102" s="2"/>
      <c r="I102" s="12"/>
      <c r="J102" s="2"/>
      <c r="K102" s="12"/>
      <c r="L102" s="2"/>
      <c r="M102" s="12"/>
      <c r="N102" s="2"/>
      <c r="O102" s="12"/>
      <c r="P102" s="12"/>
      <c r="Q102" s="12"/>
      <c r="R102" s="2"/>
      <c r="S102" s="12"/>
      <c r="T102" s="2"/>
      <c r="U102" s="12"/>
      <c r="V102" s="2"/>
      <c r="W102" s="12"/>
      <c r="X102" s="2"/>
      <c r="Y102" s="12"/>
      <c r="Z102" s="12"/>
      <c r="AA102" s="12"/>
      <c r="AB102" s="12"/>
      <c r="AC102" s="12"/>
      <c r="AD102" s="12"/>
    </row>
    <row r="103" ht="15.75" customHeight="1">
      <c r="A103" s="12"/>
      <c r="B103" s="12"/>
      <c r="C103" s="12"/>
      <c r="D103" s="2"/>
      <c r="E103" s="2"/>
      <c r="F103" s="12"/>
      <c r="G103" s="12"/>
      <c r="H103" s="2"/>
      <c r="I103" s="12"/>
      <c r="J103" s="2"/>
      <c r="K103" s="12"/>
      <c r="L103" s="2"/>
      <c r="M103" s="12"/>
      <c r="N103" s="2"/>
      <c r="O103" s="12"/>
      <c r="P103" s="12"/>
      <c r="Q103" s="12"/>
      <c r="R103" s="2"/>
      <c r="S103" s="12"/>
      <c r="T103" s="2"/>
      <c r="U103" s="12"/>
      <c r="V103" s="2"/>
      <c r="W103" s="12"/>
      <c r="X103" s="2"/>
      <c r="Y103" s="12"/>
      <c r="Z103" s="12"/>
      <c r="AA103" s="12"/>
      <c r="AB103" s="12"/>
      <c r="AC103" s="12"/>
      <c r="AD103" s="12"/>
    </row>
    <row r="104" ht="15.75" customHeight="1">
      <c r="A104" s="12"/>
      <c r="B104" s="12"/>
      <c r="C104" s="12"/>
      <c r="D104" s="2"/>
      <c r="E104" s="2"/>
      <c r="F104" s="12"/>
      <c r="G104" s="12"/>
      <c r="H104" s="2"/>
      <c r="I104" s="12"/>
      <c r="J104" s="2"/>
      <c r="K104" s="12"/>
      <c r="L104" s="2"/>
      <c r="M104" s="12"/>
      <c r="N104" s="2"/>
      <c r="O104" s="12"/>
      <c r="P104" s="12"/>
      <c r="Q104" s="12"/>
      <c r="R104" s="2"/>
      <c r="S104" s="12"/>
      <c r="T104" s="2"/>
      <c r="U104" s="12"/>
      <c r="V104" s="2"/>
      <c r="W104" s="12"/>
      <c r="X104" s="2"/>
      <c r="Y104" s="12"/>
      <c r="Z104" s="12"/>
      <c r="AA104" s="12"/>
      <c r="AB104" s="12"/>
      <c r="AC104" s="12"/>
      <c r="AD104" s="12"/>
    </row>
    <row r="105" ht="15.75" customHeight="1">
      <c r="A105" s="12"/>
      <c r="B105" s="12"/>
      <c r="C105" s="12"/>
      <c r="D105" s="2"/>
      <c r="E105" s="2"/>
      <c r="F105" s="12"/>
      <c r="G105" s="12"/>
      <c r="H105" s="2"/>
      <c r="I105" s="12"/>
      <c r="J105" s="2"/>
      <c r="K105" s="12"/>
      <c r="L105" s="2"/>
      <c r="M105" s="12"/>
      <c r="N105" s="2"/>
      <c r="O105" s="12"/>
      <c r="P105" s="12"/>
      <c r="Q105" s="12"/>
      <c r="R105" s="2"/>
      <c r="S105" s="12"/>
      <c r="T105" s="2"/>
      <c r="U105" s="12"/>
      <c r="V105" s="2"/>
      <c r="W105" s="12"/>
      <c r="X105" s="2"/>
      <c r="Y105" s="12"/>
      <c r="Z105" s="12"/>
      <c r="AA105" s="12"/>
      <c r="AB105" s="12"/>
      <c r="AC105" s="12"/>
      <c r="AD105" s="12"/>
    </row>
    <row r="106" ht="15.75" customHeight="1">
      <c r="A106" s="12"/>
      <c r="B106" s="12"/>
      <c r="C106" s="12"/>
      <c r="D106" s="2"/>
      <c r="E106" s="2"/>
      <c r="F106" s="12"/>
      <c r="G106" s="12"/>
      <c r="H106" s="2"/>
      <c r="I106" s="12"/>
      <c r="J106" s="2"/>
      <c r="K106" s="12"/>
      <c r="L106" s="2"/>
      <c r="M106" s="12"/>
      <c r="N106" s="2"/>
      <c r="O106" s="12"/>
      <c r="P106" s="12"/>
      <c r="Q106" s="12"/>
      <c r="R106" s="2"/>
      <c r="S106" s="12"/>
      <c r="T106" s="2"/>
      <c r="U106" s="12"/>
      <c r="V106" s="2"/>
      <c r="W106" s="12"/>
      <c r="X106" s="2"/>
      <c r="Y106" s="12"/>
      <c r="Z106" s="12"/>
      <c r="AA106" s="12"/>
      <c r="AB106" s="12"/>
      <c r="AC106" s="12"/>
      <c r="AD106" s="12"/>
    </row>
    <row r="107" ht="15.75" customHeight="1">
      <c r="A107" s="12"/>
      <c r="B107" s="12"/>
      <c r="C107" s="12"/>
      <c r="D107" s="2"/>
      <c r="E107" s="2"/>
      <c r="F107" s="12"/>
      <c r="G107" s="12"/>
      <c r="H107" s="2"/>
      <c r="I107" s="12"/>
      <c r="J107" s="2"/>
      <c r="K107" s="12"/>
      <c r="L107" s="2"/>
      <c r="M107" s="12"/>
      <c r="N107" s="2"/>
      <c r="O107" s="12"/>
      <c r="P107" s="12"/>
      <c r="Q107" s="12"/>
      <c r="R107" s="2"/>
      <c r="S107" s="12"/>
      <c r="T107" s="2"/>
      <c r="U107" s="12"/>
      <c r="V107" s="2"/>
      <c r="W107" s="12"/>
      <c r="X107" s="2"/>
      <c r="Y107" s="12"/>
      <c r="Z107" s="12"/>
      <c r="AA107" s="12"/>
      <c r="AB107" s="12"/>
      <c r="AC107" s="12"/>
      <c r="AD107" s="12"/>
    </row>
    <row r="108" ht="15.75" customHeight="1">
      <c r="A108" s="12"/>
      <c r="B108" s="12"/>
      <c r="C108" s="12"/>
      <c r="D108" s="2"/>
      <c r="E108" s="2"/>
      <c r="F108" s="12"/>
      <c r="G108" s="12"/>
      <c r="H108" s="2"/>
      <c r="I108" s="12"/>
      <c r="J108" s="2"/>
      <c r="K108" s="12"/>
      <c r="L108" s="2"/>
      <c r="M108" s="12"/>
      <c r="N108" s="2"/>
      <c r="O108" s="12"/>
      <c r="P108" s="12"/>
      <c r="Q108" s="12"/>
      <c r="R108" s="2"/>
      <c r="S108" s="12"/>
      <c r="T108" s="2"/>
      <c r="U108" s="12"/>
      <c r="V108" s="2"/>
      <c r="W108" s="12"/>
      <c r="X108" s="2"/>
      <c r="Y108" s="12"/>
      <c r="Z108" s="12"/>
      <c r="AA108" s="12"/>
      <c r="AB108" s="12"/>
      <c r="AC108" s="12"/>
      <c r="AD108" s="12"/>
    </row>
    <row r="109" ht="15.75" customHeight="1">
      <c r="A109" s="12"/>
      <c r="B109" s="12"/>
      <c r="C109" s="12"/>
      <c r="D109" s="2"/>
      <c r="E109" s="2"/>
      <c r="F109" s="12"/>
      <c r="G109" s="12"/>
      <c r="H109" s="2"/>
      <c r="I109" s="12"/>
      <c r="J109" s="2"/>
      <c r="K109" s="12"/>
      <c r="L109" s="2"/>
      <c r="M109" s="12"/>
      <c r="N109" s="2"/>
      <c r="O109" s="12"/>
      <c r="P109" s="12"/>
      <c r="Q109" s="12"/>
      <c r="R109" s="2"/>
      <c r="S109" s="12"/>
      <c r="T109" s="2"/>
      <c r="U109" s="12"/>
      <c r="V109" s="2"/>
      <c r="W109" s="12"/>
      <c r="X109" s="2"/>
      <c r="Y109" s="12"/>
      <c r="Z109" s="12"/>
      <c r="AA109" s="12"/>
      <c r="AB109" s="12"/>
      <c r="AC109" s="12"/>
      <c r="AD109" s="12"/>
    </row>
    <row r="110" ht="15.75" customHeight="1">
      <c r="A110" s="12"/>
      <c r="B110" s="12"/>
      <c r="C110" s="12"/>
      <c r="D110" s="2"/>
      <c r="E110" s="2"/>
      <c r="F110" s="12"/>
      <c r="G110" s="12"/>
      <c r="H110" s="2"/>
      <c r="I110" s="12"/>
      <c r="J110" s="2"/>
      <c r="K110" s="12"/>
      <c r="L110" s="2"/>
      <c r="M110" s="12"/>
      <c r="N110" s="2"/>
      <c r="O110" s="12"/>
      <c r="P110" s="12"/>
      <c r="Q110" s="12"/>
      <c r="R110" s="2"/>
      <c r="S110" s="12"/>
      <c r="T110" s="2"/>
      <c r="U110" s="12"/>
      <c r="V110" s="2"/>
      <c r="W110" s="12"/>
      <c r="X110" s="2"/>
      <c r="Y110" s="12"/>
      <c r="Z110" s="12"/>
      <c r="AA110" s="12"/>
      <c r="AB110" s="12"/>
      <c r="AC110" s="12"/>
      <c r="AD110" s="12"/>
    </row>
    <row r="111" ht="15.75" customHeight="1">
      <c r="A111" s="12"/>
      <c r="B111" s="12"/>
      <c r="C111" s="12"/>
      <c r="D111" s="2"/>
      <c r="E111" s="2"/>
      <c r="F111" s="12"/>
      <c r="G111" s="12"/>
      <c r="H111" s="2"/>
      <c r="I111" s="12"/>
      <c r="J111" s="2"/>
      <c r="K111" s="12"/>
      <c r="L111" s="2"/>
      <c r="M111" s="12"/>
      <c r="N111" s="2"/>
      <c r="O111" s="12"/>
      <c r="P111" s="12"/>
      <c r="Q111" s="12"/>
      <c r="R111" s="2"/>
      <c r="S111" s="12"/>
      <c r="T111" s="2"/>
      <c r="U111" s="12"/>
      <c r="V111" s="2"/>
      <c r="W111" s="12"/>
      <c r="X111" s="2"/>
      <c r="Y111" s="12"/>
      <c r="Z111" s="12"/>
      <c r="AA111" s="12"/>
      <c r="AB111" s="12"/>
      <c r="AC111" s="12"/>
      <c r="AD111" s="12"/>
    </row>
    <row r="112" ht="15.75" customHeight="1">
      <c r="A112" s="12"/>
      <c r="B112" s="12"/>
      <c r="C112" s="12"/>
      <c r="D112" s="2"/>
      <c r="E112" s="2"/>
      <c r="F112" s="12"/>
      <c r="G112" s="12"/>
      <c r="H112" s="2"/>
      <c r="I112" s="12"/>
      <c r="J112" s="2"/>
      <c r="K112" s="12"/>
      <c r="L112" s="2"/>
      <c r="M112" s="12"/>
      <c r="N112" s="2"/>
      <c r="O112" s="12"/>
      <c r="P112" s="12"/>
      <c r="Q112" s="12"/>
      <c r="R112" s="2"/>
      <c r="S112" s="12"/>
      <c r="T112" s="2"/>
      <c r="U112" s="12"/>
      <c r="V112" s="2"/>
      <c r="W112" s="12"/>
      <c r="X112" s="2"/>
      <c r="Y112" s="12"/>
      <c r="Z112" s="12"/>
      <c r="AA112" s="12"/>
      <c r="AB112" s="12"/>
      <c r="AC112" s="12"/>
      <c r="AD112" s="12"/>
    </row>
    <row r="113" ht="15.75" customHeight="1">
      <c r="A113" s="12"/>
      <c r="B113" s="12"/>
      <c r="C113" s="12"/>
      <c r="D113" s="2"/>
      <c r="E113" s="2"/>
      <c r="F113" s="12"/>
      <c r="G113" s="12"/>
      <c r="H113" s="2"/>
      <c r="I113" s="12"/>
      <c r="J113" s="2"/>
      <c r="K113" s="12"/>
      <c r="L113" s="2"/>
      <c r="M113" s="12"/>
      <c r="N113" s="2"/>
      <c r="O113" s="12"/>
      <c r="P113" s="12"/>
      <c r="Q113" s="12"/>
      <c r="R113" s="2"/>
      <c r="S113" s="12"/>
      <c r="T113" s="2"/>
      <c r="U113" s="12"/>
      <c r="V113" s="2"/>
      <c r="W113" s="12"/>
      <c r="X113" s="2"/>
      <c r="Y113" s="12"/>
      <c r="Z113" s="12"/>
      <c r="AA113" s="12"/>
      <c r="AB113" s="12"/>
      <c r="AC113" s="12"/>
      <c r="AD113" s="12"/>
    </row>
    <row r="114" ht="15.75" customHeight="1">
      <c r="A114" s="12"/>
      <c r="B114" s="12"/>
      <c r="C114" s="12"/>
      <c r="D114" s="2"/>
      <c r="E114" s="2"/>
      <c r="F114" s="12"/>
      <c r="G114" s="12"/>
      <c r="H114" s="2"/>
      <c r="I114" s="12"/>
      <c r="J114" s="2"/>
      <c r="K114" s="12"/>
      <c r="L114" s="2"/>
      <c r="M114" s="12"/>
      <c r="N114" s="2"/>
      <c r="O114" s="12"/>
      <c r="P114" s="12"/>
      <c r="Q114" s="12"/>
      <c r="R114" s="2"/>
      <c r="S114" s="12"/>
      <c r="T114" s="2"/>
      <c r="U114" s="12"/>
      <c r="V114" s="2"/>
      <c r="W114" s="12"/>
      <c r="X114" s="2"/>
      <c r="Y114" s="12"/>
      <c r="Z114" s="12"/>
      <c r="AA114" s="12"/>
      <c r="AB114" s="12"/>
      <c r="AC114" s="12"/>
      <c r="AD114" s="12"/>
    </row>
    <row r="115" ht="15.75" customHeight="1">
      <c r="A115" s="12"/>
      <c r="B115" s="12"/>
      <c r="C115" s="12"/>
      <c r="D115" s="2"/>
      <c r="E115" s="2"/>
      <c r="F115" s="12"/>
      <c r="G115" s="12"/>
      <c r="H115" s="2"/>
      <c r="I115" s="12"/>
      <c r="J115" s="2"/>
      <c r="K115" s="12"/>
      <c r="L115" s="2"/>
      <c r="M115" s="12"/>
      <c r="N115" s="2"/>
      <c r="O115" s="12"/>
      <c r="P115" s="12"/>
      <c r="Q115" s="12"/>
      <c r="R115" s="2"/>
      <c r="S115" s="12"/>
      <c r="T115" s="2"/>
      <c r="U115" s="12"/>
      <c r="V115" s="2"/>
      <c r="W115" s="12"/>
      <c r="X115" s="2"/>
      <c r="Y115" s="12"/>
      <c r="Z115" s="12"/>
      <c r="AA115" s="12"/>
      <c r="AB115" s="12"/>
      <c r="AC115" s="12"/>
      <c r="AD115" s="12"/>
    </row>
    <row r="116" ht="15.75" customHeight="1">
      <c r="A116" s="12"/>
      <c r="B116" s="12"/>
      <c r="C116" s="12"/>
      <c r="D116" s="2"/>
      <c r="E116" s="2"/>
      <c r="F116" s="12"/>
      <c r="G116" s="12"/>
      <c r="H116" s="2"/>
      <c r="I116" s="12"/>
      <c r="J116" s="2"/>
      <c r="K116" s="12"/>
      <c r="L116" s="2"/>
      <c r="M116" s="12"/>
      <c r="N116" s="2"/>
      <c r="O116" s="12"/>
      <c r="P116" s="12"/>
      <c r="Q116" s="12"/>
      <c r="R116" s="2"/>
      <c r="S116" s="12"/>
      <c r="T116" s="2"/>
      <c r="U116" s="12"/>
      <c r="V116" s="2"/>
      <c r="W116" s="12"/>
      <c r="X116" s="2"/>
      <c r="Y116" s="12"/>
      <c r="Z116" s="12"/>
      <c r="AA116" s="12"/>
      <c r="AB116" s="12"/>
      <c r="AC116" s="12"/>
      <c r="AD116" s="12"/>
    </row>
    <row r="117" ht="15.75" customHeight="1">
      <c r="A117" s="12"/>
      <c r="B117" s="12"/>
      <c r="C117" s="12"/>
      <c r="D117" s="2"/>
      <c r="E117" s="2"/>
      <c r="F117" s="12"/>
      <c r="G117" s="12"/>
      <c r="H117" s="2"/>
      <c r="I117" s="12"/>
      <c r="J117" s="2"/>
      <c r="K117" s="12"/>
      <c r="L117" s="2"/>
      <c r="M117" s="12"/>
      <c r="N117" s="2"/>
      <c r="O117" s="12"/>
      <c r="P117" s="12"/>
      <c r="Q117" s="12"/>
      <c r="R117" s="2"/>
      <c r="S117" s="12"/>
      <c r="T117" s="2"/>
      <c r="U117" s="12"/>
      <c r="V117" s="2"/>
      <c r="W117" s="12"/>
      <c r="X117" s="2"/>
      <c r="Y117" s="12"/>
      <c r="Z117" s="12"/>
      <c r="AA117" s="12"/>
      <c r="AB117" s="12"/>
      <c r="AC117" s="12"/>
      <c r="AD117" s="12"/>
    </row>
    <row r="118" ht="15.75" customHeight="1">
      <c r="A118" s="12"/>
      <c r="B118" s="12"/>
      <c r="C118" s="12"/>
      <c r="D118" s="2"/>
      <c r="E118" s="2"/>
      <c r="F118" s="12"/>
      <c r="G118" s="12"/>
      <c r="H118" s="2"/>
      <c r="I118" s="12"/>
      <c r="J118" s="2"/>
      <c r="K118" s="12"/>
      <c r="L118" s="2"/>
      <c r="M118" s="12"/>
      <c r="N118" s="2"/>
      <c r="O118" s="12"/>
      <c r="P118" s="12"/>
      <c r="Q118" s="12"/>
      <c r="R118" s="2"/>
      <c r="S118" s="12"/>
      <c r="T118" s="2"/>
      <c r="U118" s="12"/>
      <c r="V118" s="2"/>
      <c r="W118" s="12"/>
      <c r="X118" s="2"/>
      <c r="Y118" s="12"/>
      <c r="Z118" s="12"/>
      <c r="AA118" s="12"/>
      <c r="AB118" s="12"/>
      <c r="AC118" s="12"/>
      <c r="AD118" s="12"/>
    </row>
    <row r="119" ht="15.75" customHeight="1">
      <c r="A119" s="12"/>
      <c r="B119" s="12"/>
      <c r="C119" s="12"/>
      <c r="D119" s="2"/>
      <c r="E119" s="2"/>
      <c r="F119" s="12"/>
      <c r="G119" s="12"/>
      <c r="H119" s="2"/>
      <c r="I119" s="12"/>
      <c r="J119" s="2"/>
      <c r="K119" s="12"/>
      <c r="L119" s="2"/>
      <c r="M119" s="12"/>
      <c r="N119" s="2"/>
      <c r="O119" s="12"/>
      <c r="P119" s="12"/>
      <c r="Q119" s="12"/>
      <c r="R119" s="2"/>
      <c r="S119" s="12"/>
      <c r="T119" s="2"/>
      <c r="U119" s="12"/>
      <c r="V119" s="2"/>
      <c r="W119" s="12"/>
      <c r="X119" s="2"/>
      <c r="Y119" s="12"/>
      <c r="Z119" s="12"/>
      <c r="AA119" s="12"/>
      <c r="AB119" s="12"/>
      <c r="AC119" s="12"/>
      <c r="AD119" s="12"/>
    </row>
    <row r="120" ht="15.75" customHeight="1">
      <c r="A120" s="12"/>
      <c r="B120" s="12"/>
      <c r="C120" s="12"/>
      <c r="D120" s="2"/>
      <c r="E120" s="2"/>
      <c r="F120" s="12"/>
      <c r="G120" s="12"/>
      <c r="H120" s="2"/>
      <c r="I120" s="12"/>
      <c r="J120" s="2"/>
      <c r="K120" s="12"/>
      <c r="L120" s="2"/>
      <c r="M120" s="12"/>
      <c r="N120" s="2"/>
      <c r="O120" s="12"/>
      <c r="P120" s="12"/>
      <c r="Q120" s="12"/>
      <c r="R120" s="2"/>
      <c r="S120" s="12"/>
      <c r="T120" s="2"/>
      <c r="U120" s="12"/>
      <c r="V120" s="2"/>
      <c r="W120" s="12"/>
      <c r="X120" s="2"/>
      <c r="Y120" s="12"/>
      <c r="Z120" s="12"/>
      <c r="AA120" s="12"/>
      <c r="AB120" s="12"/>
      <c r="AC120" s="12"/>
      <c r="AD120" s="12"/>
    </row>
    <row r="121" ht="15.75" customHeight="1">
      <c r="A121" s="12"/>
      <c r="B121" s="12"/>
      <c r="C121" s="12"/>
      <c r="D121" s="2"/>
      <c r="E121" s="2"/>
      <c r="F121" s="12"/>
      <c r="G121" s="12"/>
      <c r="H121" s="2"/>
      <c r="I121" s="12"/>
      <c r="J121" s="2"/>
      <c r="K121" s="12"/>
      <c r="L121" s="2"/>
      <c r="M121" s="12"/>
      <c r="N121" s="2"/>
      <c r="O121" s="12"/>
      <c r="P121" s="12"/>
      <c r="Q121" s="12"/>
      <c r="R121" s="2"/>
      <c r="S121" s="12"/>
      <c r="T121" s="2"/>
      <c r="U121" s="12"/>
      <c r="V121" s="2"/>
      <c r="W121" s="12"/>
      <c r="X121" s="2"/>
      <c r="Y121" s="12"/>
      <c r="Z121" s="12"/>
      <c r="AA121" s="12"/>
      <c r="AB121" s="12"/>
      <c r="AC121" s="12"/>
      <c r="AD121" s="12"/>
    </row>
    <row r="122" ht="15.75" customHeight="1">
      <c r="A122" s="12"/>
      <c r="B122" s="12"/>
      <c r="C122" s="12"/>
      <c r="D122" s="2"/>
      <c r="E122" s="2"/>
      <c r="F122" s="12"/>
      <c r="G122" s="12"/>
      <c r="H122" s="2"/>
      <c r="I122" s="12"/>
      <c r="J122" s="2"/>
      <c r="K122" s="12"/>
      <c r="L122" s="2"/>
      <c r="M122" s="12"/>
      <c r="N122" s="2"/>
      <c r="O122" s="12"/>
      <c r="P122" s="12"/>
      <c r="Q122" s="12"/>
      <c r="R122" s="2"/>
      <c r="S122" s="12"/>
      <c r="T122" s="2"/>
      <c r="U122" s="12"/>
      <c r="V122" s="2"/>
      <c r="W122" s="12"/>
      <c r="X122" s="2"/>
      <c r="Y122" s="12"/>
      <c r="Z122" s="12"/>
      <c r="AA122" s="12"/>
      <c r="AB122" s="12"/>
      <c r="AC122" s="12"/>
      <c r="AD122" s="12"/>
    </row>
    <row r="123" ht="15.75" customHeight="1">
      <c r="A123" s="12"/>
      <c r="B123" s="12"/>
      <c r="C123" s="12"/>
      <c r="D123" s="2"/>
      <c r="E123" s="2"/>
      <c r="F123" s="12"/>
      <c r="G123" s="12"/>
      <c r="H123" s="2"/>
      <c r="I123" s="12"/>
      <c r="J123" s="2"/>
      <c r="K123" s="12"/>
      <c r="L123" s="2"/>
      <c r="M123" s="12"/>
      <c r="N123" s="2"/>
      <c r="O123" s="12"/>
      <c r="P123" s="12"/>
      <c r="Q123" s="12"/>
      <c r="R123" s="2"/>
      <c r="S123" s="12"/>
      <c r="T123" s="2"/>
      <c r="U123" s="12"/>
      <c r="V123" s="2"/>
      <c r="W123" s="12"/>
      <c r="X123" s="2"/>
      <c r="Y123" s="12"/>
      <c r="Z123" s="12"/>
      <c r="AA123" s="12"/>
      <c r="AB123" s="12"/>
      <c r="AC123" s="12"/>
      <c r="AD123" s="12"/>
    </row>
    <row r="124" ht="15.75" customHeight="1">
      <c r="A124" s="12"/>
      <c r="B124" s="12"/>
      <c r="C124" s="12"/>
      <c r="D124" s="2"/>
      <c r="E124" s="2"/>
      <c r="F124" s="12"/>
      <c r="G124" s="12"/>
      <c r="H124" s="2"/>
      <c r="I124" s="12"/>
      <c r="J124" s="2"/>
      <c r="K124" s="12"/>
      <c r="L124" s="2"/>
      <c r="M124" s="12"/>
      <c r="N124" s="2"/>
      <c r="O124" s="12"/>
      <c r="P124" s="12"/>
      <c r="Q124" s="12"/>
      <c r="R124" s="2"/>
      <c r="S124" s="12"/>
      <c r="T124" s="2"/>
      <c r="U124" s="12"/>
      <c r="V124" s="2"/>
      <c r="W124" s="12"/>
      <c r="X124" s="2"/>
      <c r="Y124" s="12"/>
      <c r="Z124" s="12"/>
      <c r="AA124" s="12"/>
      <c r="AB124" s="12"/>
      <c r="AC124" s="12"/>
      <c r="AD124" s="12"/>
    </row>
    <row r="125" ht="15.75" customHeight="1">
      <c r="A125" s="12"/>
      <c r="B125" s="12"/>
      <c r="C125" s="12"/>
      <c r="D125" s="2"/>
      <c r="E125" s="2"/>
      <c r="F125" s="12"/>
      <c r="G125" s="12"/>
      <c r="H125" s="2"/>
      <c r="I125" s="12"/>
      <c r="J125" s="2"/>
      <c r="K125" s="12"/>
      <c r="L125" s="2"/>
      <c r="M125" s="12"/>
      <c r="N125" s="2"/>
      <c r="O125" s="12"/>
      <c r="P125" s="12"/>
      <c r="Q125" s="12"/>
      <c r="R125" s="2"/>
      <c r="S125" s="12"/>
      <c r="T125" s="2"/>
      <c r="U125" s="12"/>
      <c r="V125" s="2"/>
      <c r="W125" s="12"/>
      <c r="X125" s="2"/>
      <c r="Y125" s="12"/>
      <c r="Z125" s="12"/>
      <c r="AA125" s="12"/>
      <c r="AB125" s="12"/>
      <c r="AC125" s="12"/>
      <c r="AD125" s="12"/>
    </row>
    <row r="126" ht="15.75" customHeight="1">
      <c r="A126" s="12"/>
      <c r="B126" s="12"/>
      <c r="C126" s="12"/>
      <c r="D126" s="2"/>
      <c r="E126" s="2"/>
      <c r="F126" s="12"/>
      <c r="G126" s="12"/>
      <c r="H126" s="2"/>
      <c r="I126" s="12"/>
      <c r="J126" s="2"/>
      <c r="K126" s="12"/>
      <c r="L126" s="2"/>
      <c r="M126" s="12"/>
      <c r="N126" s="2"/>
      <c r="O126" s="12"/>
      <c r="P126" s="12"/>
      <c r="Q126" s="12"/>
      <c r="R126" s="2"/>
      <c r="S126" s="12"/>
      <c r="T126" s="2"/>
      <c r="U126" s="12"/>
      <c r="V126" s="2"/>
      <c r="W126" s="12"/>
      <c r="X126" s="2"/>
      <c r="Y126" s="12"/>
      <c r="Z126" s="12"/>
      <c r="AA126" s="12"/>
      <c r="AB126" s="12"/>
      <c r="AC126" s="12"/>
      <c r="AD126" s="12"/>
    </row>
    <row r="127" ht="15.75" customHeight="1">
      <c r="A127" s="12"/>
      <c r="B127" s="12"/>
      <c r="C127" s="12"/>
      <c r="D127" s="2"/>
      <c r="E127" s="2"/>
      <c r="F127" s="12"/>
      <c r="G127" s="12"/>
      <c r="H127" s="2"/>
      <c r="I127" s="12"/>
      <c r="J127" s="2"/>
      <c r="K127" s="12"/>
      <c r="L127" s="2"/>
      <c r="M127" s="12"/>
      <c r="N127" s="2"/>
      <c r="O127" s="12"/>
      <c r="P127" s="12"/>
      <c r="Q127" s="12"/>
      <c r="R127" s="2"/>
      <c r="S127" s="12"/>
      <c r="T127" s="2"/>
      <c r="U127" s="12"/>
      <c r="V127" s="2"/>
      <c r="W127" s="12"/>
      <c r="X127" s="2"/>
      <c r="Y127" s="12"/>
      <c r="Z127" s="12"/>
      <c r="AA127" s="12"/>
      <c r="AB127" s="12"/>
      <c r="AC127" s="12"/>
      <c r="AD127" s="12"/>
    </row>
    <row r="128" ht="15.75" customHeight="1">
      <c r="A128" s="12"/>
      <c r="B128" s="12"/>
      <c r="C128" s="12"/>
      <c r="D128" s="2"/>
      <c r="E128" s="2"/>
      <c r="F128" s="12"/>
      <c r="G128" s="12"/>
      <c r="H128" s="2"/>
      <c r="I128" s="12"/>
      <c r="J128" s="2"/>
      <c r="K128" s="12"/>
      <c r="L128" s="2"/>
      <c r="M128" s="12"/>
      <c r="N128" s="2"/>
      <c r="O128" s="12"/>
      <c r="P128" s="12"/>
      <c r="Q128" s="12"/>
      <c r="R128" s="2"/>
      <c r="S128" s="12"/>
      <c r="T128" s="2"/>
      <c r="U128" s="12"/>
      <c r="V128" s="2"/>
      <c r="W128" s="12"/>
      <c r="X128" s="2"/>
      <c r="Y128" s="12"/>
      <c r="Z128" s="12"/>
      <c r="AA128" s="12"/>
      <c r="AB128" s="12"/>
      <c r="AC128" s="12"/>
      <c r="AD128" s="12"/>
    </row>
    <row r="129" ht="15.75" customHeight="1">
      <c r="A129" s="12"/>
      <c r="B129" s="12"/>
      <c r="C129" s="12"/>
      <c r="D129" s="2"/>
      <c r="E129" s="2"/>
      <c r="F129" s="12"/>
      <c r="G129" s="12"/>
      <c r="H129" s="2"/>
      <c r="I129" s="12"/>
      <c r="J129" s="2"/>
      <c r="K129" s="12"/>
      <c r="L129" s="2"/>
      <c r="M129" s="12"/>
      <c r="N129" s="2"/>
      <c r="O129" s="12"/>
      <c r="P129" s="12"/>
      <c r="Q129" s="12"/>
      <c r="R129" s="2"/>
      <c r="S129" s="12"/>
      <c r="T129" s="2"/>
      <c r="U129" s="12"/>
      <c r="V129" s="2"/>
      <c r="W129" s="12"/>
      <c r="X129" s="2"/>
      <c r="Y129" s="12"/>
      <c r="Z129" s="12"/>
      <c r="AA129" s="12"/>
      <c r="AB129" s="12"/>
      <c r="AC129" s="12"/>
      <c r="AD129" s="12"/>
    </row>
    <row r="130" ht="15.75" customHeight="1">
      <c r="A130" s="12"/>
      <c r="B130" s="12"/>
      <c r="C130" s="12"/>
      <c r="D130" s="2"/>
      <c r="E130" s="2"/>
      <c r="F130" s="12"/>
      <c r="G130" s="12"/>
      <c r="H130" s="2"/>
      <c r="I130" s="12"/>
      <c r="J130" s="2"/>
      <c r="K130" s="12"/>
      <c r="L130" s="2"/>
      <c r="M130" s="12"/>
      <c r="N130" s="2"/>
      <c r="O130" s="12"/>
      <c r="P130" s="12"/>
      <c r="Q130" s="12"/>
      <c r="R130" s="2"/>
      <c r="S130" s="12"/>
      <c r="T130" s="2"/>
      <c r="U130" s="12"/>
      <c r="V130" s="2"/>
      <c r="W130" s="12"/>
      <c r="X130" s="2"/>
      <c r="Y130" s="12"/>
      <c r="Z130" s="12"/>
      <c r="AA130" s="12"/>
      <c r="AB130" s="12"/>
      <c r="AC130" s="12"/>
      <c r="AD130" s="12"/>
    </row>
    <row r="131" ht="15.75" customHeight="1">
      <c r="A131" s="12"/>
      <c r="B131" s="12"/>
      <c r="C131" s="12"/>
      <c r="D131" s="2"/>
      <c r="E131" s="2"/>
      <c r="F131" s="12"/>
      <c r="G131" s="12"/>
      <c r="H131" s="2"/>
      <c r="I131" s="12"/>
      <c r="J131" s="2"/>
      <c r="K131" s="12"/>
      <c r="L131" s="2"/>
      <c r="M131" s="12"/>
      <c r="N131" s="2"/>
      <c r="O131" s="12"/>
      <c r="P131" s="12"/>
      <c r="Q131" s="12"/>
      <c r="R131" s="2"/>
      <c r="S131" s="12"/>
      <c r="T131" s="2"/>
      <c r="U131" s="12"/>
      <c r="V131" s="2"/>
      <c r="W131" s="12"/>
      <c r="X131" s="2"/>
      <c r="Y131" s="12"/>
      <c r="Z131" s="12"/>
      <c r="AA131" s="12"/>
      <c r="AB131" s="12"/>
      <c r="AC131" s="12"/>
      <c r="AD131" s="12"/>
    </row>
    <row r="132" ht="15.75" customHeight="1">
      <c r="A132" s="12"/>
      <c r="B132" s="12"/>
      <c r="C132" s="12"/>
      <c r="D132" s="2"/>
      <c r="E132" s="2"/>
      <c r="F132" s="12"/>
      <c r="G132" s="12"/>
      <c r="H132" s="2"/>
      <c r="I132" s="12"/>
      <c r="J132" s="2"/>
      <c r="K132" s="12"/>
      <c r="L132" s="2"/>
      <c r="M132" s="12"/>
      <c r="N132" s="2"/>
      <c r="O132" s="12"/>
      <c r="P132" s="12"/>
      <c r="Q132" s="12"/>
      <c r="R132" s="2"/>
      <c r="S132" s="12"/>
      <c r="T132" s="2"/>
      <c r="U132" s="12"/>
      <c r="V132" s="2"/>
      <c r="W132" s="12"/>
      <c r="X132" s="2"/>
      <c r="Y132" s="12"/>
      <c r="Z132" s="12"/>
      <c r="AA132" s="12"/>
      <c r="AB132" s="12"/>
      <c r="AC132" s="12"/>
      <c r="AD132" s="12"/>
    </row>
    <row r="133" ht="15.75" customHeight="1">
      <c r="A133" s="12"/>
      <c r="B133" s="12"/>
      <c r="C133" s="12"/>
      <c r="D133" s="2"/>
      <c r="E133" s="2"/>
      <c r="F133" s="12"/>
      <c r="G133" s="12"/>
      <c r="H133" s="2"/>
      <c r="I133" s="12"/>
      <c r="J133" s="2"/>
      <c r="K133" s="12"/>
      <c r="L133" s="2"/>
      <c r="M133" s="12"/>
      <c r="N133" s="2"/>
      <c r="O133" s="12"/>
      <c r="P133" s="12"/>
      <c r="Q133" s="12"/>
      <c r="R133" s="2"/>
      <c r="S133" s="12"/>
      <c r="T133" s="2"/>
      <c r="U133" s="12"/>
      <c r="V133" s="2"/>
      <c r="W133" s="12"/>
      <c r="X133" s="2"/>
      <c r="Y133" s="12"/>
      <c r="Z133" s="12"/>
      <c r="AA133" s="12"/>
      <c r="AB133" s="12"/>
      <c r="AC133" s="12"/>
      <c r="AD133" s="12"/>
    </row>
    <row r="134" ht="15.75" customHeight="1">
      <c r="A134" s="12"/>
      <c r="B134" s="12"/>
      <c r="C134" s="12"/>
      <c r="D134" s="2"/>
      <c r="E134" s="2"/>
      <c r="F134" s="12"/>
      <c r="G134" s="12"/>
      <c r="H134" s="2"/>
      <c r="I134" s="12"/>
      <c r="J134" s="2"/>
      <c r="K134" s="12"/>
      <c r="L134" s="2"/>
      <c r="M134" s="12"/>
      <c r="N134" s="2"/>
      <c r="O134" s="12"/>
      <c r="P134" s="12"/>
      <c r="Q134" s="12"/>
      <c r="R134" s="2"/>
      <c r="S134" s="12"/>
      <c r="T134" s="2"/>
      <c r="U134" s="12"/>
      <c r="V134" s="2"/>
      <c r="W134" s="12"/>
      <c r="X134" s="2"/>
      <c r="Y134" s="12"/>
      <c r="Z134" s="12"/>
      <c r="AA134" s="12"/>
      <c r="AB134" s="12"/>
      <c r="AC134" s="12"/>
      <c r="AD134" s="12"/>
    </row>
    <row r="135" ht="15.75" customHeight="1">
      <c r="A135" s="12"/>
      <c r="B135" s="12"/>
      <c r="C135" s="12"/>
      <c r="D135" s="2"/>
      <c r="E135" s="2"/>
      <c r="F135" s="12"/>
      <c r="G135" s="12"/>
      <c r="H135" s="2"/>
      <c r="I135" s="12"/>
      <c r="J135" s="2"/>
      <c r="K135" s="12"/>
      <c r="L135" s="2"/>
      <c r="M135" s="12"/>
      <c r="N135" s="2"/>
      <c r="O135" s="12"/>
      <c r="P135" s="12"/>
      <c r="Q135" s="12"/>
      <c r="R135" s="2"/>
      <c r="S135" s="12"/>
      <c r="T135" s="2"/>
      <c r="U135" s="12"/>
      <c r="V135" s="2"/>
      <c r="W135" s="12"/>
      <c r="X135" s="2"/>
      <c r="Y135" s="12"/>
      <c r="Z135" s="12"/>
      <c r="AA135" s="12"/>
      <c r="AB135" s="12"/>
      <c r="AC135" s="12"/>
      <c r="AD135" s="12"/>
    </row>
    <row r="136" ht="15.75" customHeight="1">
      <c r="A136" s="12"/>
      <c r="B136" s="12"/>
      <c r="C136" s="12"/>
      <c r="D136" s="2"/>
      <c r="E136" s="2"/>
      <c r="F136" s="12"/>
      <c r="G136" s="12"/>
      <c r="H136" s="2"/>
      <c r="I136" s="12"/>
      <c r="J136" s="2"/>
      <c r="K136" s="12"/>
      <c r="L136" s="2"/>
      <c r="M136" s="12"/>
      <c r="N136" s="2"/>
      <c r="O136" s="12"/>
      <c r="P136" s="12"/>
      <c r="Q136" s="12"/>
      <c r="R136" s="2"/>
      <c r="S136" s="12"/>
      <c r="T136" s="2"/>
      <c r="U136" s="12"/>
      <c r="V136" s="2"/>
      <c r="W136" s="12"/>
      <c r="X136" s="2"/>
      <c r="Y136" s="12"/>
      <c r="Z136" s="12"/>
      <c r="AA136" s="12"/>
      <c r="AB136" s="12"/>
      <c r="AC136" s="12"/>
      <c r="AD136" s="12"/>
    </row>
    <row r="137" ht="15.75" customHeight="1">
      <c r="A137" s="12"/>
      <c r="B137" s="12"/>
      <c r="C137" s="12"/>
      <c r="D137" s="2"/>
      <c r="E137" s="2"/>
      <c r="F137" s="12"/>
      <c r="G137" s="12"/>
      <c r="H137" s="2"/>
      <c r="I137" s="12"/>
      <c r="J137" s="2"/>
      <c r="K137" s="12"/>
      <c r="L137" s="2"/>
      <c r="M137" s="12"/>
      <c r="N137" s="2"/>
      <c r="O137" s="12"/>
      <c r="P137" s="12"/>
      <c r="Q137" s="12"/>
      <c r="R137" s="2"/>
      <c r="S137" s="12"/>
      <c r="T137" s="2"/>
      <c r="U137" s="12"/>
      <c r="V137" s="2"/>
      <c r="W137" s="12"/>
      <c r="X137" s="2"/>
      <c r="Y137" s="12"/>
      <c r="Z137" s="12"/>
      <c r="AA137" s="12"/>
      <c r="AB137" s="12"/>
      <c r="AC137" s="12"/>
      <c r="AD137" s="12"/>
    </row>
    <row r="138" ht="15.75" customHeight="1">
      <c r="A138" s="12"/>
      <c r="B138" s="12"/>
      <c r="C138" s="12"/>
      <c r="D138" s="2"/>
      <c r="E138" s="2"/>
      <c r="F138" s="12"/>
      <c r="G138" s="12"/>
      <c r="H138" s="2"/>
      <c r="I138" s="12"/>
      <c r="J138" s="2"/>
      <c r="K138" s="12"/>
      <c r="L138" s="2"/>
      <c r="M138" s="12"/>
      <c r="N138" s="2"/>
      <c r="O138" s="12"/>
      <c r="P138" s="12"/>
      <c r="Q138" s="12"/>
      <c r="R138" s="2"/>
      <c r="S138" s="12"/>
      <c r="T138" s="2"/>
      <c r="U138" s="12"/>
      <c r="V138" s="2"/>
      <c r="W138" s="12"/>
      <c r="X138" s="2"/>
      <c r="Y138" s="12"/>
      <c r="Z138" s="12"/>
      <c r="AA138" s="12"/>
      <c r="AB138" s="12"/>
      <c r="AC138" s="12"/>
      <c r="AD138" s="12"/>
    </row>
    <row r="139" ht="15.75" customHeight="1">
      <c r="A139" s="12"/>
      <c r="B139" s="12"/>
      <c r="C139" s="12"/>
      <c r="D139" s="2"/>
      <c r="E139" s="2"/>
      <c r="F139" s="12"/>
      <c r="G139" s="12"/>
      <c r="H139" s="2"/>
      <c r="I139" s="12"/>
      <c r="J139" s="2"/>
      <c r="K139" s="12"/>
      <c r="L139" s="2"/>
      <c r="M139" s="12"/>
      <c r="N139" s="2"/>
      <c r="O139" s="12"/>
      <c r="P139" s="12"/>
      <c r="Q139" s="12"/>
      <c r="R139" s="2"/>
      <c r="S139" s="12"/>
      <c r="T139" s="2"/>
      <c r="U139" s="12"/>
      <c r="V139" s="2"/>
      <c r="W139" s="12"/>
      <c r="X139" s="2"/>
      <c r="Y139" s="12"/>
      <c r="Z139" s="12"/>
      <c r="AA139" s="12"/>
      <c r="AB139" s="12"/>
      <c r="AC139" s="12"/>
      <c r="AD139" s="12"/>
    </row>
    <row r="140" ht="15.75" customHeight="1">
      <c r="A140" s="12"/>
      <c r="B140" s="12"/>
      <c r="C140" s="12"/>
      <c r="D140" s="2"/>
      <c r="E140" s="2"/>
      <c r="F140" s="12"/>
      <c r="G140" s="12"/>
      <c r="H140" s="2"/>
      <c r="I140" s="12"/>
      <c r="J140" s="2"/>
      <c r="K140" s="12"/>
      <c r="L140" s="2"/>
      <c r="M140" s="12"/>
      <c r="N140" s="2"/>
      <c r="O140" s="12"/>
      <c r="P140" s="12"/>
      <c r="Q140" s="12"/>
      <c r="R140" s="2"/>
      <c r="S140" s="12"/>
      <c r="T140" s="2"/>
      <c r="U140" s="12"/>
      <c r="V140" s="2"/>
      <c r="W140" s="12"/>
      <c r="X140" s="2"/>
      <c r="Y140" s="12"/>
      <c r="Z140" s="12"/>
      <c r="AA140" s="12"/>
      <c r="AB140" s="12"/>
      <c r="AC140" s="12"/>
      <c r="AD140" s="12"/>
    </row>
    <row r="141" ht="15.75" customHeight="1">
      <c r="A141" s="12"/>
      <c r="B141" s="12"/>
      <c r="C141" s="12"/>
      <c r="D141" s="2"/>
      <c r="E141" s="2"/>
      <c r="F141" s="12"/>
      <c r="G141" s="12"/>
      <c r="H141" s="2"/>
      <c r="I141" s="12"/>
      <c r="J141" s="2"/>
      <c r="K141" s="12"/>
      <c r="L141" s="2"/>
      <c r="M141" s="12"/>
      <c r="N141" s="2"/>
      <c r="O141" s="12"/>
      <c r="P141" s="12"/>
      <c r="Q141" s="12"/>
      <c r="R141" s="2"/>
      <c r="S141" s="12"/>
      <c r="T141" s="2"/>
      <c r="U141" s="12"/>
      <c r="V141" s="2"/>
      <c r="W141" s="12"/>
      <c r="X141" s="2"/>
      <c r="Y141" s="12"/>
      <c r="Z141" s="12"/>
      <c r="AA141" s="12"/>
      <c r="AB141" s="12"/>
      <c r="AC141" s="12"/>
      <c r="AD141" s="12"/>
    </row>
    <row r="142" ht="15.75" customHeight="1">
      <c r="A142" s="12"/>
      <c r="B142" s="12"/>
      <c r="C142" s="12"/>
      <c r="D142" s="2"/>
      <c r="E142" s="2"/>
      <c r="F142" s="12"/>
      <c r="G142" s="12"/>
      <c r="H142" s="2"/>
      <c r="I142" s="12"/>
      <c r="J142" s="2"/>
      <c r="K142" s="12"/>
      <c r="L142" s="2"/>
      <c r="M142" s="12"/>
      <c r="N142" s="2"/>
      <c r="O142" s="12"/>
      <c r="P142" s="12"/>
      <c r="Q142" s="12"/>
      <c r="R142" s="2"/>
      <c r="S142" s="12"/>
      <c r="T142" s="2"/>
      <c r="U142" s="12"/>
      <c r="V142" s="2"/>
      <c r="W142" s="12"/>
      <c r="X142" s="2"/>
      <c r="Y142" s="12"/>
      <c r="Z142" s="12"/>
      <c r="AA142" s="12"/>
      <c r="AB142" s="12"/>
      <c r="AC142" s="12"/>
      <c r="AD142" s="12"/>
    </row>
    <row r="143" ht="15.75" customHeight="1">
      <c r="A143" s="12"/>
      <c r="B143" s="12"/>
      <c r="C143" s="12"/>
      <c r="D143" s="2"/>
      <c r="E143" s="2"/>
      <c r="F143" s="12"/>
      <c r="G143" s="12"/>
      <c r="H143" s="2"/>
      <c r="I143" s="12"/>
      <c r="J143" s="2"/>
      <c r="K143" s="12"/>
      <c r="L143" s="2"/>
      <c r="M143" s="12"/>
      <c r="N143" s="2"/>
      <c r="O143" s="12"/>
      <c r="P143" s="12"/>
      <c r="Q143" s="12"/>
      <c r="R143" s="2"/>
      <c r="S143" s="12"/>
      <c r="T143" s="2"/>
      <c r="U143" s="12"/>
      <c r="V143" s="2"/>
      <c r="W143" s="12"/>
      <c r="X143" s="2"/>
      <c r="Y143" s="12"/>
      <c r="Z143" s="12"/>
      <c r="AA143" s="12"/>
      <c r="AB143" s="12"/>
      <c r="AC143" s="12"/>
      <c r="AD143" s="12"/>
    </row>
    <row r="144" ht="15.75" customHeight="1">
      <c r="A144" s="12"/>
      <c r="B144" s="12"/>
      <c r="C144" s="12"/>
      <c r="D144" s="2"/>
      <c r="E144" s="2"/>
      <c r="F144" s="12"/>
      <c r="G144" s="12"/>
      <c r="H144" s="2"/>
      <c r="I144" s="12"/>
      <c r="J144" s="2"/>
      <c r="K144" s="12"/>
      <c r="L144" s="2"/>
      <c r="M144" s="12"/>
      <c r="N144" s="2"/>
      <c r="O144" s="12"/>
      <c r="P144" s="12"/>
      <c r="Q144" s="12"/>
      <c r="R144" s="2"/>
      <c r="S144" s="12"/>
      <c r="T144" s="2"/>
      <c r="U144" s="12"/>
      <c r="V144" s="2"/>
      <c r="W144" s="12"/>
      <c r="X144" s="2"/>
      <c r="Y144" s="12"/>
      <c r="Z144" s="12"/>
      <c r="AA144" s="12"/>
      <c r="AB144" s="12"/>
      <c r="AC144" s="12"/>
      <c r="AD144" s="12"/>
    </row>
    <row r="145" ht="15.75" customHeight="1">
      <c r="A145" s="12"/>
      <c r="B145" s="12"/>
      <c r="C145" s="12"/>
      <c r="D145" s="2"/>
      <c r="E145" s="2"/>
      <c r="F145" s="12"/>
      <c r="G145" s="12"/>
      <c r="H145" s="2"/>
      <c r="I145" s="12"/>
      <c r="J145" s="2"/>
      <c r="K145" s="12"/>
      <c r="L145" s="2"/>
      <c r="M145" s="12"/>
      <c r="N145" s="2"/>
      <c r="O145" s="12"/>
      <c r="P145" s="12"/>
      <c r="Q145" s="12"/>
      <c r="R145" s="2"/>
      <c r="S145" s="12"/>
      <c r="T145" s="2"/>
      <c r="U145" s="12"/>
      <c r="V145" s="2"/>
      <c r="W145" s="12"/>
      <c r="X145" s="2"/>
      <c r="Y145" s="12"/>
      <c r="Z145" s="12"/>
      <c r="AA145" s="12"/>
      <c r="AB145" s="12"/>
      <c r="AC145" s="12"/>
      <c r="AD145" s="12"/>
    </row>
    <row r="146" ht="15.75" customHeight="1">
      <c r="A146" s="12"/>
      <c r="B146" s="12"/>
      <c r="C146" s="12"/>
      <c r="D146" s="2"/>
      <c r="E146" s="2"/>
      <c r="F146" s="12"/>
      <c r="G146" s="12"/>
      <c r="H146" s="2"/>
      <c r="I146" s="12"/>
      <c r="J146" s="2"/>
      <c r="K146" s="12"/>
      <c r="L146" s="2"/>
      <c r="M146" s="12"/>
      <c r="N146" s="2"/>
      <c r="O146" s="12"/>
      <c r="P146" s="12"/>
      <c r="Q146" s="12"/>
      <c r="R146" s="2"/>
      <c r="S146" s="12"/>
      <c r="T146" s="2"/>
      <c r="U146" s="12"/>
      <c r="V146" s="2"/>
      <c r="W146" s="12"/>
      <c r="X146" s="2"/>
      <c r="Y146" s="12"/>
      <c r="Z146" s="12"/>
      <c r="AA146" s="12"/>
      <c r="AB146" s="12"/>
      <c r="AC146" s="12"/>
      <c r="AD146" s="12"/>
    </row>
    <row r="147" ht="15.75" customHeight="1">
      <c r="A147" s="12"/>
      <c r="B147" s="12"/>
      <c r="C147" s="12"/>
      <c r="D147" s="2"/>
      <c r="E147" s="2"/>
      <c r="F147" s="12"/>
      <c r="G147" s="12"/>
      <c r="H147" s="2"/>
      <c r="I147" s="12"/>
      <c r="J147" s="2"/>
      <c r="K147" s="12"/>
      <c r="L147" s="2"/>
      <c r="M147" s="12"/>
      <c r="N147" s="2"/>
      <c r="O147" s="12"/>
      <c r="P147" s="12"/>
      <c r="Q147" s="12"/>
      <c r="R147" s="2"/>
      <c r="S147" s="12"/>
      <c r="T147" s="2"/>
      <c r="U147" s="12"/>
      <c r="V147" s="2"/>
      <c r="W147" s="12"/>
      <c r="X147" s="2"/>
      <c r="Y147" s="12"/>
      <c r="Z147" s="12"/>
      <c r="AA147" s="12"/>
      <c r="AB147" s="12"/>
      <c r="AC147" s="12"/>
      <c r="AD147" s="12"/>
    </row>
    <row r="148" ht="15.75" customHeight="1">
      <c r="A148" s="12"/>
      <c r="B148" s="12"/>
      <c r="C148" s="12"/>
      <c r="D148" s="2"/>
      <c r="E148" s="2"/>
      <c r="F148" s="12"/>
      <c r="G148" s="12"/>
      <c r="H148" s="2"/>
      <c r="I148" s="12"/>
      <c r="J148" s="2"/>
      <c r="K148" s="12"/>
      <c r="L148" s="2"/>
      <c r="M148" s="12"/>
      <c r="N148" s="2"/>
      <c r="O148" s="12"/>
      <c r="P148" s="12"/>
      <c r="Q148" s="12"/>
      <c r="R148" s="2"/>
      <c r="S148" s="12"/>
      <c r="T148" s="2"/>
      <c r="U148" s="12"/>
      <c r="V148" s="2"/>
      <c r="W148" s="12"/>
      <c r="X148" s="2"/>
      <c r="Y148" s="12"/>
      <c r="Z148" s="12"/>
      <c r="AA148" s="12"/>
      <c r="AB148" s="12"/>
      <c r="AC148" s="12"/>
      <c r="AD148" s="12"/>
    </row>
    <row r="149" ht="15.75" customHeight="1">
      <c r="A149" s="12"/>
      <c r="B149" s="12"/>
      <c r="C149" s="12"/>
      <c r="D149" s="2"/>
      <c r="E149" s="2"/>
      <c r="F149" s="12"/>
      <c r="G149" s="12"/>
      <c r="H149" s="2"/>
      <c r="I149" s="12"/>
      <c r="J149" s="2"/>
      <c r="K149" s="12"/>
      <c r="L149" s="2"/>
      <c r="M149" s="12"/>
      <c r="N149" s="2"/>
      <c r="O149" s="12"/>
      <c r="P149" s="12"/>
      <c r="Q149" s="12"/>
      <c r="R149" s="2"/>
      <c r="S149" s="12"/>
      <c r="T149" s="2"/>
      <c r="U149" s="12"/>
      <c r="V149" s="2"/>
      <c r="W149" s="12"/>
      <c r="X149" s="2"/>
      <c r="Y149" s="12"/>
      <c r="Z149" s="12"/>
      <c r="AA149" s="12"/>
      <c r="AB149" s="12"/>
      <c r="AC149" s="12"/>
      <c r="AD149" s="12"/>
    </row>
    <row r="150" ht="15.75" customHeight="1">
      <c r="A150" s="12"/>
      <c r="B150" s="12"/>
      <c r="C150" s="12"/>
      <c r="D150" s="2"/>
      <c r="E150" s="2"/>
      <c r="F150" s="12"/>
      <c r="G150" s="12"/>
      <c r="H150" s="2"/>
      <c r="I150" s="12"/>
      <c r="J150" s="2"/>
      <c r="K150" s="12"/>
      <c r="L150" s="2"/>
      <c r="M150" s="12"/>
      <c r="N150" s="2"/>
      <c r="O150" s="12"/>
      <c r="P150" s="12"/>
      <c r="Q150" s="12"/>
      <c r="R150" s="2"/>
      <c r="S150" s="12"/>
      <c r="T150" s="2"/>
      <c r="U150" s="12"/>
      <c r="V150" s="2"/>
      <c r="W150" s="12"/>
      <c r="X150" s="2"/>
      <c r="Y150" s="12"/>
      <c r="Z150" s="12"/>
      <c r="AA150" s="12"/>
      <c r="AB150" s="12"/>
      <c r="AC150" s="12"/>
      <c r="AD150" s="12"/>
    </row>
    <row r="151" ht="15.75" customHeight="1">
      <c r="A151" s="12"/>
      <c r="B151" s="12"/>
      <c r="C151" s="12"/>
      <c r="D151" s="2"/>
      <c r="E151" s="2"/>
      <c r="F151" s="12"/>
      <c r="G151" s="12"/>
      <c r="H151" s="2"/>
      <c r="I151" s="12"/>
      <c r="J151" s="2"/>
      <c r="K151" s="12"/>
      <c r="L151" s="2"/>
      <c r="M151" s="12"/>
      <c r="N151" s="2"/>
      <c r="O151" s="12"/>
      <c r="P151" s="12"/>
      <c r="Q151" s="12"/>
      <c r="R151" s="2"/>
      <c r="S151" s="12"/>
      <c r="T151" s="2"/>
      <c r="U151" s="12"/>
      <c r="V151" s="2"/>
      <c r="W151" s="12"/>
      <c r="X151" s="2"/>
      <c r="Y151" s="12"/>
      <c r="Z151" s="12"/>
      <c r="AA151" s="12"/>
      <c r="AB151" s="12"/>
      <c r="AC151" s="12"/>
      <c r="AD151" s="12"/>
    </row>
    <row r="152" ht="15.75" customHeight="1">
      <c r="A152" s="12"/>
      <c r="B152" s="12"/>
      <c r="C152" s="12"/>
      <c r="D152" s="2"/>
      <c r="E152" s="2"/>
      <c r="F152" s="12"/>
      <c r="G152" s="12"/>
      <c r="H152" s="2"/>
      <c r="I152" s="12"/>
      <c r="J152" s="2"/>
      <c r="K152" s="12"/>
      <c r="L152" s="2"/>
      <c r="M152" s="12"/>
      <c r="N152" s="2"/>
      <c r="O152" s="12"/>
      <c r="P152" s="12"/>
      <c r="Q152" s="12"/>
      <c r="R152" s="2"/>
      <c r="S152" s="12"/>
      <c r="T152" s="2"/>
      <c r="U152" s="12"/>
      <c r="V152" s="2"/>
      <c r="W152" s="12"/>
      <c r="X152" s="2"/>
      <c r="Y152" s="12"/>
      <c r="Z152" s="12"/>
      <c r="AA152" s="12"/>
      <c r="AB152" s="12"/>
      <c r="AC152" s="12"/>
      <c r="AD152" s="12"/>
    </row>
    <row r="153" ht="15.75" customHeight="1">
      <c r="A153" s="12"/>
      <c r="B153" s="12"/>
      <c r="C153" s="12"/>
      <c r="D153" s="2"/>
      <c r="E153" s="2"/>
      <c r="F153" s="12"/>
      <c r="G153" s="12"/>
      <c r="H153" s="2"/>
      <c r="I153" s="12"/>
      <c r="J153" s="2"/>
      <c r="K153" s="12"/>
      <c r="L153" s="2"/>
      <c r="M153" s="12"/>
      <c r="N153" s="2"/>
      <c r="O153" s="12"/>
      <c r="P153" s="12"/>
      <c r="Q153" s="12"/>
      <c r="R153" s="2"/>
      <c r="S153" s="12"/>
      <c r="T153" s="2"/>
      <c r="U153" s="12"/>
      <c r="V153" s="2"/>
      <c r="W153" s="12"/>
      <c r="X153" s="2"/>
      <c r="Y153" s="12"/>
      <c r="Z153" s="12"/>
      <c r="AA153" s="12"/>
      <c r="AB153" s="12"/>
      <c r="AC153" s="12"/>
      <c r="AD153" s="12"/>
    </row>
    <row r="154" ht="15.75" customHeight="1">
      <c r="A154" s="12"/>
      <c r="B154" s="12"/>
      <c r="C154" s="12"/>
      <c r="D154" s="2"/>
      <c r="E154" s="2"/>
      <c r="F154" s="12"/>
      <c r="G154" s="12"/>
      <c r="H154" s="2"/>
      <c r="I154" s="12"/>
      <c r="J154" s="2"/>
      <c r="K154" s="12"/>
      <c r="L154" s="2"/>
      <c r="M154" s="12"/>
      <c r="N154" s="2"/>
      <c r="O154" s="12"/>
      <c r="P154" s="12"/>
      <c r="Q154" s="12"/>
      <c r="R154" s="2"/>
      <c r="S154" s="12"/>
      <c r="T154" s="2"/>
      <c r="U154" s="12"/>
      <c r="V154" s="2"/>
      <c r="W154" s="12"/>
      <c r="X154" s="2"/>
      <c r="Y154" s="12"/>
      <c r="Z154" s="12"/>
      <c r="AA154" s="12"/>
      <c r="AB154" s="12"/>
      <c r="AC154" s="12"/>
      <c r="AD154" s="12"/>
    </row>
    <row r="155" ht="15.75" customHeight="1">
      <c r="A155" s="12"/>
      <c r="B155" s="12"/>
      <c r="C155" s="12"/>
      <c r="D155" s="2"/>
      <c r="E155" s="2"/>
      <c r="F155" s="12"/>
      <c r="G155" s="12"/>
      <c r="H155" s="2"/>
      <c r="I155" s="12"/>
      <c r="J155" s="2"/>
      <c r="K155" s="12"/>
      <c r="L155" s="2"/>
      <c r="M155" s="12"/>
      <c r="N155" s="2"/>
      <c r="O155" s="12"/>
      <c r="P155" s="12"/>
      <c r="Q155" s="12"/>
      <c r="R155" s="2"/>
      <c r="S155" s="12"/>
      <c r="T155" s="2"/>
      <c r="U155" s="12"/>
      <c r="V155" s="2"/>
      <c r="W155" s="12"/>
      <c r="X155" s="2"/>
      <c r="Y155" s="12"/>
      <c r="Z155" s="12"/>
      <c r="AA155" s="12"/>
      <c r="AB155" s="12"/>
      <c r="AC155" s="12"/>
      <c r="AD155" s="12"/>
    </row>
    <row r="156" ht="15.75" customHeight="1">
      <c r="A156" s="12"/>
      <c r="B156" s="12"/>
      <c r="C156" s="12"/>
      <c r="D156" s="2"/>
      <c r="E156" s="2"/>
      <c r="F156" s="12"/>
      <c r="G156" s="12"/>
      <c r="H156" s="2"/>
      <c r="I156" s="12"/>
      <c r="J156" s="2"/>
      <c r="K156" s="12"/>
      <c r="L156" s="2"/>
      <c r="M156" s="12"/>
      <c r="N156" s="2"/>
      <c r="O156" s="12"/>
      <c r="P156" s="12"/>
      <c r="Q156" s="12"/>
      <c r="R156" s="2"/>
      <c r="S156" s="12"/>
      <c r="T156" s="2"/>
      <c r="U156" s="12"/>
      <c r="V156" s="2"/>
      <c r="W156" s="12"/>
      <c r="X156" s="2"/>
      <c r="Y156" s="12"/>
      <c r="Z156" s="12"/>
      <c r="AA156" s="12"/>
      <c r="AB156" s="12"/>
      <c r="AC156" s="12"/>
      <c r="AD156" s="12"/>
    </row>
    <row r="157" ht="15.75" customHeight="1">
      <c r="A157" s="12"/>
      <c r="B157" s="12"/>
      <c r="C157" s="12"/>
      <c r="D157" s="2"/>
      <c r="E157" s="2"/>
      <c r="F157" s="12"/>
      <c r="G157" s="12"/>
      <c r="H157" s="2"/>
      <c r="I157" s="12"/>
      <c r="J157" s="2"/>
      <c r="K157" s="12"/>
      <c r="L157" s="2"/>
      <c r="M157" s="12"/>
      <c r="N157" s="2"/>
      <c r="O157" s="12"/>
      <c r="P157" s="12"/>
      <c r="Q157" s="12"/>
      <c r="R157" s="2"/>
      <c r="S157" s="12"/>
      <c r="T157" s="2"/>
      <c r="U157" s="12"/>
      <c r="V157" s="2"/>
      <c r="W157" s="12"/>
      <c r="X157" s="2"/>
      <c r="Y157" s="12"/>
      <c r="Z157" s="12"/>
      <c r="AA157" s="12"/>
      <c r="AB157" s="12"/>
      <c r="AC157" s="12"/>
      <c r="AD157" s="12"/>
    </row>
    <row r="158" ht="15.75" customHeight="1">
      <c r="A158" s="12"/>
      <c r="B158" s="12"/>
      <c r="C158" s="12"/>
      <c r="D158" s="2"/>
      <c r="E158" s="2"/>
      <c r="F158" s="12"/>
      <c r="G158" s="12"/>
      <c r="H158" s="2"/>
      <c r="I158" s="12"/>
      <c r="J158" s="2"/>
      <c r="K158" s="12"/>
      <c r="L158" s="2"/>
      <c r="M158" s="12"/>
      <c r="N158" s="2"/>
      <c r="O158" s="12"/>
      <c r="P158" s="12"/>
      <c r="Q158" s="12"/>
      <c r="R158" s="2"/>
      <c r="S158" s="12"/>
      <c r="T158" s="2"/>
      <c r="U158" s="12"/>
      <c r="V158" s="2"/>
      <c r="W158" s="12"/>
      <c r="X158" s="2"/>
      <c r="Y158" s="12"/>
      <c r="Z158" s="12"/>
      <c r="AA158" s="12"/>
      <c r="AB158" s="12"/>
      <c r="AC158" s="12"/>
      <c r="AD158" s="12"/>
    </row>
    <row r="159" ht="15.75" customHeight="1">
      <c r="A159" s="12"/>
      <c r="B159" s="12"/>
      <c r="C159" s="12"/>
      <c r="D159" s="2"/>
      <c r="E159" s="2"/>
      <c r="F159" s="12"/>
      <c r="G159" s="12"/>
      <c r="H159" s="2"/>
      <c r="I159" s="12"/>
      <c r="J159" s="2"/>
      <c r="K159" s="12"/>
      <c r="L159" s="2"/>
      <c r="M159" s="12"/>
      <c r="N159" s="2"/>
      <c r="O159" s="12"/>
      <c r="P159" s="12"/>
      <c r="Q159" s="12"/>
      <c r="R159" s="2"/>
      <c r="S159" s="12"/>
      <c r="T159" s="2"/>
      <c r="U159" s="12"/>
      <c r="V159" s="2"/>
      <c r="W159" s="12"/>
      <c r="X159" s="2"/>
      <c r="Y159" s="12"/>
      <c r="Z159" s="12"/>
      <c r="AA159" s="12"/>
      <c r="AB159" s="12"/>
      <c r="AC159" s="12"/>
      <c r="AD159" s="12"/>
    </row>
    <row r="160" ht="15.75" customHeight="1">
      <c r="A160" s="12"/>
      <c r="B160" s="12"/>
      <c r="C160" s="12"/>
      <c r="D160" s="2"/>
      <c r="E160" s="2"/>
      <c r="F160" s="12"/>
      <c r="G160" s="12"/>
      <c r="H160" s="2"/>
      <c r="I160" s="12"/>
      <c r="J160" s="2"/>
      <c r="K160" s="12"/>
      <c r="L160" s="2"/>
      <c r="M160" s="12"/>
      <c r="N160" s="2"/>
      <c r="O160" s="12"/>
      <c r="P160" s="12"/>
      <c r="Q160" s="12"/>
      <c r="R160" s="2"/>
      <c r="S160" s="12"/>
      <c r="T160" s="2"/>
      <c r="U160" s="12"/>
      <c r="V160" s="2"/>
      <c r="W160" s="12"/>
      <c r="X160" s="2"/>
      <c r="Y160" s="12"/>
      <c r="Z160" s="12"/>
      <c r="AA160" s="12"/>
      <c r="AB160" s="12"/>
      <c r="AC160" s="12"/>
      <c r="AD160" s="12"/>
    </row>
    <row r="161" ht="15.75" customHeight="1">
      <c r="A161" s="12"/>
      <c r="B161" s="12"/>
      <c r="C161" s="12"/>
      <c r="D161" s="2"/>
      <c r="E161" s="2"/>
      <c r="F161" s="12"/>
      <c r="G161" s="12"/>
      <c r="H161" s="2"/>
      <c r="I161" s="12"/>
      <c r="J161" s="2"/>
      <c r="K161" s="12"/>
      <c r="L161" s="2"/>
      <c r="M161" s="12"/>
      <c r="N161" s="2"/>
      <c r="O161" s="12"/>
      <c r="P161" s="12"/>
      <c r="Q161" s="12"/>
      <c r="R161" s="2"/>
      <c r="S161" s="12"/>
      <c r="T161" s="2"/>
      <c r="U161" s="12"/>
      <c r="V161" s="2"/>
      <c r="W161" s="12"/>
      <c r="X161" s="2"/>
      <c r="Y161" s="12"/>
      <c r="Z161" s="12"/>
      <c r="AA161" s="12"/>
      <c r="AB161" s="12"/>
      <c r="AC161" s="12"/>
      <c r="AD161" s="12"/>
    </row>
    <row r="162" ht="15.75" customHeight="1">
      <c r="A162" s="12"/>
      <c r="B162" s="12"/>
      <c r="C162" s="12"/>
      <c r="D162" s="2"/>
      <c r="E162" s="2"/>
      <c r="F162" s="12"/>
      <c r="G162" s="12"/>
      <c r="H162" s="2"/>
      <c r="I162" s="12"/>
      <c r="J162" s="2"/>
      <c r="K162" s="12"/>
      <c r="L162" s="2"/>
      <c r="M162" s="12"/>
      <c r="N162" s="2"/>
      <c r="O162" s="12"/>
      <c r="P162" s="12"/>
      <c r="Q162" s="12"/>
      <c r="R162" s="2"/>
      <c r="S162" s="12"/>
      <c r="T162" s="2"/>
      <c r="U162" s="12"/>
      <c r="V162" s="2"/>
      <c r="W162" s="12"/>
      <c r="X162" s="2"/>
      <c r="Y162" s="12"/>
      <c r="Z162" s="12"/>
      <c r="AA162" s="12"/>
      <c r="AB162" s="12"/>
      <c r="AC162" s="12"/>
      <c r="AD162" s="12"/>
    </row>
    <row r="163" ht="15.75" customHeight="1">
      <c r="A163" s="12"/>
      <c r="B163" s="12"/>
      <c r="C163" s="12"/>
      <c r="D163" s="2"/>
      <c r="E163" s="2"/>
      <c r="F163" s="12"/>
      <c r="G163" s="12"/>
      <c r="H163" s="2"/>
      <c r="I163" s="12"/>
      <c r="J163" s="2"/>
      <c r="K163" s="12"/>
      <c r="L163" s="2"/>
      <c r="M163" s="12"/>
      <c r="N163" s="2"/>
      <c r="O163" s="12"/>
      <c r="P163" s="12"/>
      <c r="Q163" s="12"/>
      <c r="R163" s="2"/>
      <c r="S163" s="12"/>
      <c r="T163" s="2"/>
      <c r="U163" s="12"/>
      <c r="V163" s="2"/>
      <c r="W163" s="12"/>
      <c r="X163" s="2"/>
      <c r="Y163" s="12"/>
      <c r="Z163" s="12"/>
      <c r="AA163" s="12"/>
      <c r="AB163" s="12"/>
      <c r="AC163" s="12"/>
      <c r="AD163" s="12"/>
    </row>
    <row r="164" ht="15.75" customHeight="1">
      <c r="A164" s="12"/>
      <c r="B164" s="12"/>
      <c r="C164" s="12"/>
      <c r="D164" s="2"/>
      <c r="E164" s="2"/>
      <c r="F164" s="12"/>
      <c r="G164" s="12"/>
      <c r="H164" s="2"/>
      <c r="I164" s="12"/>
      <c r="J164" s="2"/>
      <c r="K164" s="12"/>
      <c r="L164" s="2"/>
      <c r="M164" s="12"/>
      <c r="N164" s="2"/>
      <c r="O164" s="12"/>
      <c r="P164" s="12"/>
      <c r="Q164" s="12"/>
      <c r="R164" s="2"/>
      <c r="S164" s="12"/>
      <c r="T164" s="2"/>
      <c r="U164" s="12"/>
      <c r="V164" s="2"/>
      <c r="W164" s="12"/>
      <c r="X164" s="2"/>
      <c r="Y164" s="12"/>
      <c r="Z164" s="12"/>
      <c r="AA164" s="12"/>
      <c r="AB164" s="12"/>
      <c r="AC164" s="12"/>
      <c r="AD164" s="12"/>
    </row>
    <row r="165" ht="15.75" customHeight="1">
      <c r="A165" s="12"/>
      <c r="B165" s="12"/>
      <c r="C165" s="12"/>
      <c r="D165" s="2"/>
      <c r="E165" s="2"/>
      <c r="F165" s="12"/>
      <c r="G165" s="12"/>
      <c r="H165" s="2"/>
      <c r="I165" s="12"/>
      <c r="J165" s="2"/>
      <c r="K165" s="12"/>
      <c r="L165" s="2"/>
      <c r="M165" s="12"/>
      <c r="N165" s="2"/>
      <c r="O165" s="12"/>
      <c r="P165" s="12"/>
      <c r="Q165" s="12"/>
      <c r="R165" s="2"/>
      <c r="S165" s="12"/>
      <c r="T165" s="2"/>
      <c r="U165" s="12"/>
      <c r="V165" s="2"/>
      <c r="W165" s="12"/>
      <c r="X165" s="2"/>
      <c r="Y165" s="12"/>
      <c r="Z165" s="12"/>
      <c r="AA165" s="12"/>
      <c r="AB165" s="12"/>
      <c r="AC165" s="12"/>
      <c r="AD165" s="12"/>
    </row>
    <row r="166" ht="15.75" customHeight="1">
      <c r="A166" s="12"/>
      <c r="B166" s="12"/>
      <c r="C166" s="12"/>
      <c r="D166" s="2"/>
      <c r="E166" s="2"/>
      <c r="F166" s="12"/>
      <c r="G166" s="12"/>
      <c r="H166" s="2"/>
      <c r="I166" s="12"/>
      <c r="J166" s="2"/>
      <c r="K166" s="12"/>
      <c r="L166" s="2"/>
      <c r="M166" s="12"/>
      <c r="N166" s="2"/>
      <c r="O166" s="12"/>
      <c r="P166" s="12"/>
      <c r="Q166" s="12"/>
      <c r="R166" s="2"/>
      <c r="S166" s="12"/>
      <c r="T166" s="2"/>
      <c r="U166" s="12"/>
      <c r="V166" s="2"/>
      <c r="W166" s="12"/>
      <c r="X166" s="2"/>
      <c r="Y166" s="12"/>
      <c r="Z166" s="12"/>
      <c r="AA166" s="12"/>
      <c r="AB166" s="12"/>
      <c r="AC166" s="12"/>
      <c r="AD166" s="12"/>
    </row>
    <row r="167" ht="15.75" customHeight="1">
      <c r="A167" s="12"/>
      <c r="B167" s="12"/>
      <c r="C167" s="12"/>
      <c r="D167" s="2"/>
      <c r="E167" s="2"/>
      <c r="F167" s="12"/>
      <c r="G167" s="12"/>
      <c r="H167" s="2"/>
      <c r="I167" s="12"/>
      <c r="J167" s="2"/>
      <c r="K167" s="12"/>
      <c r="L167" s="2"/>
      <c r="M167" s="12"/>
      <c r="N167" s="2"/>
      <c r="O167" s="12"/>
      <c r="P167" s="12"/>
      <c r="Q167" s="12"/>
      <c r="R167" s="2"/>
      <c r="S167" s="12"/>
      <c r="T167" s="2"/>
      <c r="U167" s="12"/>
      <c r="V167" s="2"/>
      <c r="W167" s="12"/>
      <c r="X167" s="2"/>
      <c r="Y167" s="12"/>
      <c r="Z167" s="12"/>
      <c r="AA167" s="12"/>
      <c r="AB167" s="12"/>
      <c r="AC167" s="12"/>
      <c r="AD167" s="12"/>
    </row>
    <row r="168" ht="15.75" customHeight="1">
      <c r="A168" s="12"/>
      <c r="B168" s="12"/>
      <c r="C168" s="12"/>
      <c r="D168" s="2"/>
      <c r="E168" s="2"/>
      <c r="F168" s="12"/>
      <c r="G168" s="12"/>
      <c r="H168" s="2"/>
      <c r="I168" s="12"/>
      <c r="J168" s="2"/>
      <c r="K168" s="12"/>
      <c r="L168" s="2"/>
      <c r="M168" s="12"/>
      <c r="N168" s="2"/>
      <c r="O168" s="12"/>
      <c r="P168" s="12"/>
      <c r="Q168" s="12"/>
      <c r="R168" s="2"/>
      <c r="S168" s="12"/>
      <c r="T168" s="2"/>
      <c r="U168" s="12"/>
      <c r="V168" s="2"/>
      <c r="W168" s="12"/>
      <c r="X168" s="2"/>
      <c r="Y168" s="12"/>
      <c r="Z168" s="12"/>
      <c r="AA168" s="12"/>
      <c r="AB168" s="12"/>
      <c r="AC168" s="12"/>
      <c r="AD168" s="12"/>
    </row>
    <row r="169" ht="15.75" customHeight="1">
      <c r="A169" s="12"/>
      <c r="B169" s="12"/>
      <c r="C169" s="12"/>
      <c r="D169" s="2"/>
      <c r="E169" s="2"/>
      <c r="F169" s="12"/>
      <c r="G169" s="12"/>
      <c r="H169" s="2"/>
      <c r="I169" s="12"/>
      <c r="J169" s="2"/>
      <c r="K169" s="12"/>
      <c r="L169" s="2"/>
      <c r="M169" s="12"/>
      <c r="N169" s="2"/>
      <c r="O169" s="12"/>
      <c r="P169" s="12"/>
      <c r="Q169" s="12"/>
      <c r="R169" s="2"/>
      <c r="S169" s="12"/>
      <c r="T169" s="2"/>
      <c r="U169" s="12"/>
      <c r="V169" s="2"/>
      <c r="W169" s="12"/>
      <c r="X169" s="2"/>
      <c r="Y169" s="12"/>
      <c r="Z169" s="12"/>
      <c r="AA169" s="12"/>
      <c r="AB169" s="12"/>
      <c r="AC169" s="12"/>
      <c r="AD169" s="12"/>
    </row>
    <row r="170" ht="15.75" customHeight="1">
      <c r="A170" s="12"/>
      <c r="B170" s="12"/>
      <c r="C170" s="12"/>
      <c r="D170" s="2"/>
      <c r="E170" s="2"/>
      <c r="F170" s="12"/>
      <c r="G170" s="12"/>
      <c r="H170" s="2"/>
      <c r="I170" s="12"/>
      <c r="J170" s="2"/>
      <c r="K170" s="12"/>
      <c r="L170" s="2"/>
      <c r="M170" s="12"/>
      <c r="N170" s="2"/>
      <c r="O170" s="12"/>
      <c r="P170" s="12"/>
      <c r="Q170" s="12"/>
      <c r="R170" s="2"/>
      <c r="S170" s="12"/>
      <c r="T170" s="2"/>
      <c r="U170" s="12"/>
      <c r="V170" s="2"/>
      <c r="W170" s="12"/>
      <c r="X170" s="2"/>
      <c r="Y170" s="12"/>
      <c r="Z170" s="12"/>
      <c r="AA170" s="12"/>
      <c r="AB170" s="12"/>
      <c r="AC170" s="12"/>
      <c r="AD170" s="12"/>
    </row>
    <row r="171" ht="15.75" customHeight="1">
      <c r="A171" s="12"/>
      <c r="B171" s="12"/>
      <c r="C171" s="12"/>
      <c r="D171" s="2"/>
      <c r="E171" s="2"/>
      <c r="F171" s="12"/>
      <c r="G171" s="12"/>
      <c r="H171" s="2"/>
      <c r="I171" s="12"/>
      <c r="J171" s="2"/>
      <c r="K171" s="12"/>
      <c r="L171" s="2"/>
      <c r="M171" s="12"/>
      <c r="N171" s="2"/>
      <c r="O171" s="12"/>
      <c r="P171" s="12"/>
      <c r="Q171" s="12"/>
      <c r="R171" s="2"/>
      <c r="S171" s="12"/>
      <c r="T171" s="2"/>
      <c r="U171" s="12"/>
      <c r="V171" s="2"/>
      <c r="W171" s="12"/>
      <c r="X171" s="2"/>
      <c r="Y171" s="12"/>
      <c r="Z171" s="12"/>
      <c r="AA171" s="12"/>
      <c r="AB171" s="12"/>
      <c r="AC171" s="12"/>
      <c r="AD171" s="12"/>
    </row>
    <row r="172" ht="15.75" customHeight="1">
      <c r="A172" s="12"/>
      <c r="B172" s="12"/>
      <c r="C172" s="12"/>
      <c r="D172" s="2"/>
      <c r="E172" s="2"/>
      <c r="F172" s="12"/>
      <c r="G172" s="12"/>
      <c r="H172" s="2"/>
      <c r="I172" s="12"/>
      <c r="J172" s="2"/>
      <c r="K172" s="12"/>
      <c r="L172" s="2"/>
      <c r="M172" s="12"/>
      <c r="N172" s="2"/>
      <c r="O172" s="12"/>
      <c r="P172" s="12"/>
      <c r="Q172" s="12"/>
      <c r="R172" s="2"/>
      <c r="S172" s="12"/>
      <c r="T172" s="2"/>
      <c r="U172" s="12"/>
      <c r="V172" s="2"/>
      <c r="W172" s="12"/>
      <c r="X172" s="2"/>
      <c r="Y172" s="12"/>
      <c r="Z172" s="12"/>
      <c r="AA172" s="12"/>
      <c r="AB172" s="12"/>
      <c r="AC172" s="12"/>
      <c r="AD172" s="12"/>
    </row>
    <row r="173" ht="15.75" customHeight="1">
      <c r="A173" s="12"/>
      <c r="B173" s="12"/>
      <c r="C173" s="12"/>
      <c r="D173" s="2"/>
      <c r="E173" s="2"/>
      <c r="F173" s="12"/>
      <c r="G173" s="12"/>
      <c r="H173" s="2"/>
      <c r="I173" s="12"/>
      <c r="J173" s="2"/>
      <c r="K173" s="12"/>
      <c r="L173" s="2"/>
      <c r="M173" s="12"/>
      <c r="N173" s="2"/>
      <c r="O173" s="12"/>
      <c r="P173" s="12"/>
      <c r="Q173" s="12"/>
      <c r="R173" s="2"/>
      <c r="S173" s="12"/>
      <c r="T173" s="2"/>
      <c r="U173" s="12"/>
      <c r="V173" s="2"/>
      <c r="W173" s="12"/>
      <c r="X173" s="2"/>
      <c r="Y173" s="12"/>
      <c r="Z173" s="12"/>
      <c r="AA173" s="12"/>
      <c r="AB173" s="12"/>
      <c r="AC173" s="12"/>
      <c r="AD173" s="12"/>
    </row>
    <row r="174" ht="15.75" customHeight="1">
      <c r="A174" s="12"/>
      <c r="B174" s="12"/>
      <c r="C174" s="12"/>
      <c r="D174" s="2"/>
      <c r="E174" s="2"/>
      <c r="F174" s="12"/>
      <c r="G174" s="12"/>
      <c r="H174" s="2"/>
      <c r="I174" s="12"/>
      <c r="J174" s="2"/>
      <c r="K174" s="12"/>
      <c r="L174" s="2"/>
      <c r="M174" s="12"/>
      <c r="N174" s="2"/>
      <c r="O174" s="12"/>
      <c r="P174" s="12"/>
      <c r="Q174" s="12"/>
      <c r="R174" s="2"/>
      <c r="S174" s="12"/>
      <c r="T174" s="2"/>
      <c r="U174" s="12"/>
      <c r="V174" s="2"/>
      <c r="W174" s="12"/>
      <c r="X174" s="2"/>
      <c r="Y174" s="12"/>
      <c r="Z174" s="12"/>
      <c r="AA174" s="12"/>
      <c r="AB174" s="12"/>
      <c r="AC174" s="12"/>
      <c r="AD174" s="12"/>
    </row>
    <row r="175" ht="15.75" customHeight="1">
      <c r="A175" s="12"/>
      <c r="B175" s="12"/>
      <c r="C175" s="12"/>
      <c r="D175" s="2"/>
      <c r="E175" s="2"/>
      <c r="F175" s="12"/>
      <c r="G175" s="12"/>
      <c r="H175" s="2"/>
      <c r="I175" s="12"/>
      <c r="J175" s="2"/>
      <c r="K175" s="12"/>
      <c r="L175" s="2"/>
      <c r="M175" s="12"/>
      <c r="N175" s="2"/>
      <c r="O175" s="12"/>
      <c r="P175" s="12"/>
      <c r="Q175" s="12"/>
      <c r="R175" s="2"/>
      <c r="S175" s="12"/>
      <c r="T175" s="2"/>
      <c r="U175" s="12"/>
      <c r="V175" s="2"/>
      <c r="W175" s="12"/>
      <c r="X175" s="2"/>
      <c r="Y175" s="12"/>
      <c r="Z175" s="12"/>
      <c r="AA175" s="12"/>
      <c r="AB175" s="12"/>
      <c r="AC175" s="12"/>
      <c r="AD175" s="12"/>
    </row>
    <row r="176" ht="15.75" customHeight="1">
      <c r="A176" s="12"/>
      <c r="B176" s="12"/>
      <c r="C176" s="12"/>
      <c r="D176" s="2"/>
      <c r="E176" s="2"/>
      <c r="F176" s="12"/>
      <c r="G176" s="12"/>
      <c r="H176" s="2"/>
      <c r="I176" s="12"/>
      <c r="J176" s="2"/>
      <c r="K176" s="12"/>
      <c r="L176" s="2"/>
      <c r="M176" s="12"/>
      <c r="N176" s="2"/>
      <c r="O176" s="12"/>
      <c r="P176" s="12"/>
      <c r="Q176" s="12"/>
      <c r="R176" s="2"/>
      <c r="S176" s="12"/>
      <c r="T176" s="2"/>
      <c r="U176" s="12"/>
      <c r="V176" s="2"/>
      <c r="W176" s="12"/>
      <c r="X176" s="2"/>
      <c r="Y176" s="12"/>
      <c r="Z176" s="12"/>
      <c r="AA176" s="12"/>
      <c r="AB176" s="12"/>
      <c r="AC176" s="12"/>
      <c r="AD176" s="12"/>
    </row>
    <row r="177" ht="15.75" customHeight="1">
      <c r="A177" s="12"/>
      <c r="B177" s="12"/>
      <c r="C177" s="12"/>
      <c r="D177" s="2"/>
      <c r="E177" s="2"/>
      <c r="F177" s="12"/>
      <c r="G177" s="12"/>
      <c r="H177" s="2"/>
      <c r="I177" s="12"/>
      <c r="J177" s="2"/>
      <c r="K177" s="12"/>
      <c r="L177" s="2"/>
      <c r="M177" s="12"/>
      <c r="N177" s="2"/>
      <c r="O177" s="12"/>
      <c r="P177" s="12"/>
      <c r="Q177" s="12"/>
      <c r="R177" s="2"/>
      <c r="S177" s="12"/>
      <c r="T177" s="2"/>
      <c r="U177" s="12"/>
      <c r="V177" s="2"/>
      <c r="W177" s="12"/>
      <c r="X177" s="2"/>
      <c r="Y177" s="12"/>
      <c r="Z177" s="12"/>
      <c r="AA177" s="12"/>
      <c r="AB177" s="12"/>
      <c r="AC177" s="12"/>
      <c r="AD177" s="12"/>
    </row>
    <row r="178" ht="15.75" customHeight="1">
      <c r="A178" s="12"/>
      <c r="B178" s="12"/>
      <c r="C178" s="12"/>
      <c r="D178" s="2"/>
      <c r="E178" s="2"/>
      <c r="F178" s="12"/>
      <c r="G178" s="12"/>
      <c r="H178" s="2"/>
      <c r="I178" s="12"/>
      <c r="J178" s="2"/>
      <c r="K178" s="12"/>
      <c r="L178" s="2"/>
      <c r="M178" s="12"/>
      <c r="N178" s="2"/>
      <c r="O178" s="12"/>
      <c r="P178" s="12"/>
      <c r="Q178" s="12"/>
      <c r="R178" s="2"/>
      <c r="S178" s="12"/>
      <c r="T178" s="2"/>
      <c r="U178" s="12"/>
      <c r="V178" s="2"/>
      <c r="W178" s="12"/>
      <c r="X178" s="2"/>
      <c r="Y178" s="12"/>
      <c r="Z178" s="12"/>
      <c r="AA178" s="12"/>
      <c r="AB178" s="12"/>
      <c r="AC178" s="12"/>
      <c r="AD178" s="12"/>
    </row>
    <row r="179" ht="15.75" customHeight="1">
      <c r="A179" s="12"/>
      <c r="B179" s="12"/>
      <c r="C179" s="12"/>
      <c r="D179" s="2"/>
      <c r="E179" s="2"/>
      <c r="F179" s="12"/>
      <c r="G179" s="12"/>
      <c r="H179" s="2"/>
      <c r="I179" s="12"/>
      <c r="J179" s="2"/>
      <c r="K179" s="12"/>
      <c r="L179" s="2"/>
      <c r="M179" s="12"/>
      <c r="N179" s="2"/>
      <c r="O179" s="12"/>
      <c r="P179" s="12"/>
      <c r="Q179" s="12"/>
      <c r="R179" s="2"/>
      <c r="S179" s="12"/>
      <c r="T179" s="2"/>
      <c r="U179" s="12"/>
      <c r="V179" s="2"/>
      <c r="W179" s="12"/>
      <c r="X179" s="2"/>
      <c r="Y179" s="12"/>
      <c r="Z179" s="12"/>
      <c r="AA179" s="12"/>
      <c r="AB179" s="12"/>
      <c r="AC179" s="12"/>
      <c r="AD179" s="12"/>
    </row>
    <row r="180" ht="15.75" customHeight="1">
      <c r="A180" s="12"/>
      <c r="B180" s="12"/>
      <c r="C180" s="12"/>
      <c r="D180" s="2"/>
      <c r="E180" s="2"/>
      <c r="F180" s="12"/>
      <c r="G180" s="12"/>
      <c r="H180" s="2"/>
      <c r="I180" s="12"/>
      <c r="J180" s="2"/>
      <c r="K180" s="12"/>
      <c r="L180" s="2"/>
      <c r="M180" s="12"/>
      <c r="N180" s="2"/>
      <c r="O180" s="12"/>
      <c r="P180" s="12"/>
      <c r="Q180" s="12"/>
      <c r="R180" s="2"/>
      <c r="S180" s="12"/>
      <c r="T180" s="2"/>
      <c r="U180" s="12"/>
      <c r="V180" s="2"/>
      <c r="W180" s="12"/>
      <c r="X180" s="2"/>
      <c r="Y180" s="12"/>
      <c r="Z180" s="12"/>
      <c r="AA180" s="12"/>
      <c r="AB180" s="12"/>
      <c r="AC180" s="12"/>
      <c r="AD180" s="12"/>
    </row>
    <row r="181" ht="15.75" customHeight="1">
      <c r="A181" s="12"/>
      <c r="B181" s="12"/>
      <c r="C181" s="12"/>
      <c r="D181" s="2"/>
      <c r="E181" s="2"/>
      <c r="F181" s="12"/>
      <c r="G181" s="12"/>
      <c r="H181" s="2"/>
      <c r="I181" s="12"/>
      <c r="J181" s="2"/>
      <c r="K181" s="12"/>
      <c r="L181" s="2"/>
      <c r="M181" s="12"/>
      <c r="N181" s="2"/>
      <c r="O181" s="12"/>
      <c r="P181" s="12"/>
      <c r="Q181" s="12"/>
      <c r="R181" s="2"/>
      <c r="S181" s="12"/>
      <c r="T181" s="2"/>
      <c r="U181" s="12"/>
      <c r="V181" s="2"/>
      <c r="W181" s="12"/>
      <c r="X181" s="2"/>
      <c r="Y181" s="12"/>
      <c r="Z181" s="12"/>
      <c r="AA181" s="12"/>
      <c r="AB181" s="12"/>
      <c r="AC181" s="12"/>
      <c r="AD181" s="12"/>
    </row>
    <row r="182" ht="15.75" customHeight="1">
      <c r="A182" s="12"/>
      <c r="B182" s="12"/>
      <c r="C182" s="12"/>
      <c r="D182" s="2"/>
      <c r="E182" s="2"/>
      <c r="F182" s="12"/>
      <c r="G182" s="12"/>
      <c r="H182" s="2"/>
      <c r="I182" s="12"/>
      <c r="J182" s="2"/>
      <c r="K182" s="12"/>
      <c r="L182" s="2"/>
      <c r="M182" s="12"/>
      <c r="N182" s="2"/>
      <c r="O182" s="12"/>
      <c r="P182" s="12"/>
      <c r="Q182" s="12"/>
      <c r="R182" s="2"/>
      <c r="S182" s="12"/>
      <c r="T182" s="2"/>
      <c r="U182" s="12"/>
      <c r="V182" s="2"/>
      <c r="W182" s="12"/>
      <c r="X182" s="2"/>
      <c r="Y182" s="12"/>
      <c r="Z182" s="12"/>
      <c r="AA182" s="12"/>
      <c r="AB182" s="12"/>
      <c r="AC182" s="12"/>
      <c r="AD182" s="12"/>
    </row>
    <row r="183" ht="15.75" customHeight="1">
      <c r="A183" s="12"/>
      <c r="B183" s="12"/>
      <c r="C183" s="12"/>
      <c r="D183" s="2"/>
      <c r="E183" s="2"/>
      <c r="F183" s="12"/>
      <c r="G183" s="12"/>
      <c r="H183" s="2"/>
      <c r="I183" s="12"/>
      <c r="J183" s="2"/>
      <c r="K183" s="12"/>
      <c r="L183" s="2"/>
      <c r="M183" s="12"/>
      <c r="N183" s="2"/>
      <c r="O183" s="12"/>
      <c r="P183" s="12"/>
      <c r="Q183" s="12"/>
      <c r="R183" s="2"/>
      <c r="S183" s="12"/>
      <c r="T183" s="2"/>
      <c r="U183" s="12"/>
      <c r="V183" s="2"/>
      <c r="W183" s="12"/>
      <c r="X183" s="2"/>
      <c r="Y183" s="12"/>
      <c r="Z183" s="12"/>
      <c r="AA183" s="12"/>
      <c r="AB183" s="12"/>
      <c r="AC183" s="12"/>
      <c r="AD183" s="12"/>
    </row>
    <row r="184" ht="15.75" customHeight="1">
      <c r="A184" s="12"/>
      <c r="B184" s="12"/>
      <c r="C184" s="12"/>
      <c r="D184" s="2"/>
      <c r="E184" s="2"/>
      <c r="F184" s="12"/>
      <c r="G184" s="12"/>
      <c r="H184" s="2"/>
      <c r="I184" s="12"/>
      <c r="J184" s="2"/>
      <c r="K184" s="12"/>
      <c r="L184" s="2"/>
      <c r="M184" s="12"/>
      <c r="N184" s="2"/>
      <c r="O184" s="12"/>
      <c r="P184" s="12"/>
      <c r="Q184" s="12"/>
      <c r="R184" s="2"/>
      <c r="S184" s="12"/>
      <c r="T184" s="2"/>
      <c r="U184" s="12"/>
      <c r="V184" s="2"/>
      <c r="W184" s="12"/>
      <c r="X184" s="2"/>
      <c r="Y184" s="12"/>
      <c r="Z184" s="12"/>
      <c r="AA184" s="12"/>
      <c r="AB184" s="12"/>
      <c r="AC184" s="12"/>
      <c r="AD184" s="12"/>
    </row>
    <row r="185" ht="15.75" customHeight="1">
      <c r="A185" s="12"/>
      <c r="B185" s="12"/>
      <c r="C185" s="12"/>
      <c r="D185" s="2"/>
      <c r="E185" s="2"/>
      <c r="F185" s="12"/>
      <c r="G185" s="12"/>
      <c r="H185" s="2"/>
      <c r="I185" s="12"/>
      <c r="J185" s="2"/>
      <c r="K185" s="12"/>
      <c r="L185" s="2"/>
      <c r="M185" s="12"/>
      <c r="N185" s="2"/>
      <c r="O185" s="12"/>
      <c r="P185" s="12"/>
      <c r="Q185" s="12"/>
      <c r="R185" s="2"/>
      <c r="S185" s="12"/>
      <c r="T185" s="2"/>
      <c r="U185" s="12"/>
      <c r="V185" s="2"/>
      <c r="W185" s="12"/>
      <c r="X185" s="2"/>
      <c r="Y185" s="12"/>
      <c r="Z185" s="12"/>
      <c r="AA185" s="12"/>
      <c r="AB185" s="12"/>
      <c r="AC185" s="12"/>
      <c r="AD185" s="12"/>
    </row>
    <row r="186" ht="15.75" customHeight="1">
      <c r="A186" s="12"/>
      <c r="B186" s="12"/>
      <c r="C186" s="12"/>
      <c r="D186" s="2"/>
      <c r="E186" s="2"/>
      <c r="F186" s="12"/>
      <c r="G186" s="12"/>
      <c r="H186" s="2"/>
      <c r="I186" s="12"/>
      <c r="J186" s="2"/>
      <c r="K186" s="12"/>
      <c r="L186" s="2"/>
      <c r="M186" s="12"/>
      <c r="N186" s="2"/>
      <c r="O186" s="12"/>
      <c r="P186" s="12"/>
      <c r="Q186" s="12"/>
      <c r="R186" s="2"/>
      <c r="S186" s="12"/>
      <c r="T186" s="2"/>
      <c r="U186" s="12"/>
      <c r="V186" s="2"/>
      <c r="W186" s="12"/>
      <c r="X186" s="2"/>
      <c r="Y186" s="12"/>
      <c r="Z186" s="12"/>
      <c r="AA186" s="12"/>
      <c r="AB186" s="12"/>
      <c r="AC186" s="12"/>
      <c r="AD186" s="12"/>
    </row>
    <row r="187" ht="15.75" customHeight="1">
      <c r="A187" s="12"/>
      <c r="B187" s="12"/>
      <c r="C187" s="12"/>
      <c r="D187" s="2"/>
      <c r="E187" s="2"/>
      <c r="F187" s="12"/>
      <c r="G187" s="12"/>
      <c r="H187" s="2"/>
      <c r="I187" s="12"/>
      <c r="J187" s="2"/>
      <c r="K187" s="12"/>
      <c r="L187" s="2"/>
      <c r="M187" s="12"/>
      <c r="N187" s="2"/>
      <c r="O187" s="12"/>
      <c r="P187" s="12"/>
      <c r="Q187" s="12"/>
      <c r="R187" s="2"/>
      <c r="S187" s="12"/>
      <c r="T187" s="2"/>
      <c r="U187" s="12"/>
      <c r="V187" s="2"/>
      <c r="W187" s="12"/>
      <c r="X187" s="2"/>
      <c r="Y187" s="12"/>
      <c r="Z187" s="12"/>
      <c r="AA187" s="12"/>
      <c r="AB187" s="12"/>
      <c r="AC187" s="12"/>
      <c r="AD187" s="12"/>
    </row>
    <row r="188" ht="15.75" customHeight="1">
      <c r="A188" s="12"/>
      <c r="B188" s="12"/>
      <c r="C188" s="12"/>
      <c r="D188" s="2"/>
      <c r="E188" s="2"/>
      <c r="F188" s="12"/>
      <c r="G188" s="12"/>
      <c r="H188" s="2"/>
      <c r="I188" s="12"/>
      <c r="J188" s="2"/>
      <c r="K188" s="12"/>
      <c r="L188" s="2"/>
      <c r="M188" s="12"/>
      <c r="N188" s="2"/>
      <c r="O188" s="12"/>
      <c r="P188" s="12"/>
      <c r="Q188" s="12"/>
      <c r="R188" s="2"/>
      <c r="S188" s="12"/>
      <c r="T188" s="2"/>
      <c r="U188" s="12"/>
      <c r="V188" s="2"/>
      <c r="W188" s="12"/>
      <c r="X188" s="2"/>
      <c r="Y188" s="12"/>
      <c r="Z188" s="12"/>
      <c r="AA188" s="12"/>
      <c r="AB188" s="12"/>
      <c r="AC188" s="12"/>
      <c r="AD188" s="12"/>
    </row>
    <row r="189" ht="15.75" customHeight="1">
      <c r="A189" s="12"/>
      <c r="B189" s="12"/>
      <c r="C189" s="12"/>
      <c r="D189" s="2"/>
      <c r="E189" s="2"/>
      <c r="F189" s="12"/>
      <c r="G189" s="12"/>
      <c r="H189" s="2"/>
      <c r="I189" s="12"/>
      <c r="J189" s="2"/>
      <c r="K189" s="12"/>
      <c r="L189" s="2"/>
      <c r="M189" s="12"/>
      <c r="N189" s="2"/>
      <c r="O189" s="12"/>
      <c r="P189" s="12"/>
      <c r="Q189" s="12"/>
      <c r="R189" s="2"/>
      <c r="S189" s="12"/>
      <c r="T189" s="2"/>
      <c r="U189" s="12"/>
      <c r="V189" s="2"/>
      <c r="W189" s="12"/>
      <c r="X189" s="2"/>
      <c r="Y189" s="12"/>
      <c r="Z189" s="12"/>
      <c r="AA189" s="12"/>
      <c r="AB189" s="12"/>
      <c r="AC189" s="12"/>
      <c r="AD189" s="12"/>
    </row>
    <row r="190" ht="15.75" customHeight="1">
      <c r="A190" s="12"/>
      <c r="B190" s="12"/>
      <c r="C190" s="12"/>
      <c r="D190" s="2"/>
      <c r="E190" s="2"/>
      <c r="F190" s="12"/>
      <c r="G190" s="12"/>
      <c r="H190" s="2"/>
      <c r="I190" s="12"/>
      <c r="J190" s="2"/>
      <c r="K190" s="12"/>
      <c r="L190" s="2"/>
      <c r="M190" s="12"/>
      <c r="N190" s="2"/>
      <c r="O190" s="12"/>
      <c r="P190" s="12"/>
      <c r="Q190" s="12"/>
      <c r="R190" s="2"/>
      <c r="S190" s="12"/>
      <c r="T190" s="2"/>
      <c r="U190" s="12"/>
      <c r="V190" s="2"/>
      <c r="W190" s="12"/>
      <c r="X190" s="2"/>
      <c r="Y190" s="12"/>
      <c r="Z190" s="12"/>
      <c r="AA190" s="12"/>
      <c r="AB190" s="12"/>
      <c r="AC190" s="12"/>
      <c r="AD190" s="12"/>
    </row>
    <row r="191" ht="15.75" customHeight="1">
      <c r="A191" s="12"/>
      <c r="B191" s="12"/>
      <c r="C191" s="12"/>
      <c r="D191" s="2"/>
      <c r="E191" s="2"/>
      <c r="F191" s="12"/>
      <c r="G191" s="12"/>
      <c r="H191" s="2"/>
      <c r="I191" s="12"/>
      <c r="J191" s="2"/>
      <c r="K191" s="12"/>
      <c r="L191" s="2"/>
      <c r="M191" s="12"/>
      <c r="N191" s="2"/>
      <c r="O191" s="12"/>
      <c r="P191" s="12"/>
      <c r="Q191" s="12"/>
      <c r="R191" s="2"/>
      <c r="S191" s="12"/>
      <c r="T191" s="2"/>
      <c r="U191" s="12"/>
      <c r="V191" s="2"/>
      <c r="W191" s="12"/>
      <c r="X191" s="2"/>
      <c r="Y191" s="12"/>
      <c r="Z191" s="12"/>
      <c r="AA191" s="12"/>
      <c r="AB191" s="12"/>
      <c r="AC191" s="12"/>
      <c r="AD191" s="12"/>
    </row>
    <row r="192" ht="15.75" customHeight="1">
      <c r="A192" s="12"/>
      <c r="B192" s="12"/>
      <c r="C192" s="12"/>
      <c r="D192" s="2"/>
      <c r="E192" s="2"/>
      <c r="F192" s="12"/>
      <c r="G192" s="12"/>
      <c r="H192" s="2"/>
      <c r="I192" s="12"/>
      <c r="J192" s="2"/>
      <c r="K192" s="12"/>
      <c r="L192" s="2"/>
      <c r="M192" s="12"/>
      <c r="N192" s="2"/>
      <c r="O192" s="12"/>
      <c r="P192" s="12"/>
      <c r="Q192" s="12"/>
      <c r="R192" s="2"/>
      <c r="S192" s="12"/>
      <c r="T192" s="2"/>
      <c r="U192" s="12"/>
      <c r="V192" s="2"/>
      <c r="W192" s="12"/>
      <c r="X192" s="2"/>
      <c r="Y192" s="12"/>
      <c r="Z192" s="12"/>
      <c r="AA192" s="12"/>
      <c r="AB192" s="12"/>
      <c r="AC192" s="12"/>
      <c r="AD192" s="12"/>
    </row>
    <row r="193" ht="15.75" customHeight="1">
      <c r="A193" s="12"/>
      <c r="B193" s="12"/>
      <c r="C193" s="12"/>
      <c r="D193" s="2"/>
      <c r="E193" s="2"/>
      <c r="F193" s="12"/>
      <c r="G193" s="12"/>
      <c r="H193" s="2"/>
      <c r="I193" s="12"/>
      <c r="J193" s="2"/>
      <c r="K193" s="12"/>
      <c r="L193" s="2"/>
      <c r="M193" s="12"/>
      <c r="N193" s="2"/>
      <c r="O193" s="12"/>
      <c r="P193" s="12"/>
      <c r="Q193" s="12"/>
      <c r="R193" s="2"/>
      <c r="S193" s="12"/>
      <c r="T193" s="2"/>
      <c r="U193" s="12"/>
      <c r="V193" s="2"/>
      <c r="W193" s="12"/>
      <c r="X193" s="2"/>
      <c r="Y193" s="12"/>
      <c r="Z193" s="12"/>
      <c r="AA193" s="12"/>
      <c r="AB193" s="12"/>
      <c r="AC193" s="12"/>
      <c r="AD193" s="12"/>
    </row>
    <row r="194" ht="15.75" customHeight="1">
      <c r="A194" s="12"/>
      <c r="B194" s="12"/>
      <c r="C194" s="12"/>
      <c r="D194" s="2"/>
      <c r="E194" s="2"/>
      <c r="F194" s="12"/>
      <c r="G194" s="12"/>
      <c r="H194" s="2"/>
      <c r="I194" s="12"/>
      <c r="J194" s="2"/>
      <c r="K194" s="12"/>
      <c r="L194" s="2"/>
      <c r="M194" s="12"/>
      <c r="N194" s="2"/>
      <c r="O194" s="12"/>
      <c r="P194" s="12"/>
      <c r="Q194" s="12"/>
      <c r="R194" s="2"/>
      <c r="S194" s="12"/>
      <c r="T194" s="2"/>
      <c r="U194" s="12"/>
      <c r="V194" s="2"/>
      <c r="W194" s="12"/>
      <c r="X194" s="2"/>
      <c r="Y194" s="12"/>
      <c r="Z194" s="12"/>
      <c r="AA194" s="12"/>
      <c r="AB194" s="12"/>
      <c r="AC194" s="12"/>
      <c r="AD194" s="12"/>
    </row>
    <row r="195" ht="15.75" customHeight="1">
      <c r="A195" s="12"/>
      <c r="B195" s="12"/>
      <c r="C195" s="12"/>
      <c r="D195" s="2"/>
      <c r="E195" s="2"/>
      <c r="F195" s="12"/>
      <c r="G195" s="12"/>
      <c r="H195" s="2"/>
      <c r="I195" s="12"/>
      <c r="J195" s="2"/>
      <c r="K195" s="12"/>
      <c r="L195" s="2"/>
      <c r="M195" s="12"/>
      <c r="N195" s="2"/>
      <c r="O195" s="12"/>
      <c r="P195" s="12"/>
      <c r="Q195" s="12"/>
      <c r="R195" s="2"/>
      <c r="S195" s="12"/>
      <c r="T195" s="2"/>
      <c r="U195" s="12"/>
      <c r="V195" s="2"/>
      <c r="W195" s="12"/>
      <c r="X195" s="2"/>
      <c r="Y195" s="12"/>
      <c r="Z195" s="12"/>
      <c r="AA195" s="12"/>
      <c r="AB195" s="12"/>
      <c r="AC195" s="12"/>
      <c r="AD195" s="12"/>
    </row>
    <row r="196" ht="15.75" customHeight="1">
      <c r="A196" s="12"/>
      <c r="B196" s="12"/>
      <c r="C196" s="12"/>
      <c r="D196" s="2"/>
      <c r="E196" s="2"/>
      <c r="F196" s="12"/>
      <c r="G196" s="12"/>
      <c r="H196" s="2"/>
      <c r="I196" s="12"/>
      <c r="J196" s="2"/>
      <c r="K196" s="12"/>
      <c r="L196" s="2"/>
      <c r="M196" s="12"/>
      <c r="N196" s="2"/>
      <c r="O196" s="12"/>
      <c r="P196" s="12"/>
      <c r="Q196" s="12"/>
      <c r="R196" s="2"/>
      <c r="S196" s="12"/>
      <c r="T196" s="2"/>
      <c r="U196" s="12"/>
      <c r="V196" s="2"/>
      <c r="W196" s="12"/>
      <c r="X196" s="2"/>
      <c r="Y196" s="12"/>
      <c r="Z196" s="12"/>
      <c r="AA196" s="12"/>
      <c r="AB196" s="12"/>
      <c r="AC196" s="12"/>
      <c r="AD196" s="12"/>
    </row>
    <row r="197" ht="15.75" customHeight="1">
      <c r="A197" s="12"/>
      <c r="B197" s="12"/>
      <c r="C197" s="12"/>
      <c r="D197" s="2"/>
      <c r="E197" s="2"/>
      <c r="F197" s="12"/>
      <c r="G197" s="12"/>
      <c r="H197" s="2"/>
      <c r="I197" s="12"/>
      <c r="J197" s="2"/>
      <c r="K197" s="12"/>
      <c r="L197" s="2"/>
      <c r="M197" s="12"/>
      <c r="N197" s="2"/>
      <c r="O197" s="12"/>
      <c r="P197" s="12"/>
      <c r="Q197" s="12"/>
      <c r="R197" s="2"/>
      <c r="S197" s="12"/>
      <c r="T197" s="2"/>
      <c r="U197" s="12"/>
      <c r="V197" s="2"/>
      <c r="W197" s="12"/>
      <c r="X197" s="2"/>
      <c r="Y197" s="12"/>
      <c r="Z197" s="12"/>
      <c r="AA197" s="12"/>
      <c r="AB197" s="12"/>
      <c r="AC197" s="12"/>
      <c r="AD197" s="12"/>
    </row>
    <row r="198" ht="15.75" customHeight="1">
      <c r="A198" s="12"/>
      <c r="B198" s="12"/>
      <c r="C198" s="12"/>
      <c r="D198" s="2"/>
      <c r="E198" s="2"/>
      <c r="F198" s="12"/>
      <c r="G198" s="12"/>
      <c r="H198" s="2"/>
      <c r="I198" s="12"/>
      <c r="J198" s="2"/>
      <c r="K198" s="12"/>
      <c r="L198" s="2"/>
      <c r="M198" s="12"/>
      <c r="N198" s="2"/>
      <c r="O198" s="12"/>
      <c r="P198" s="12"/>
      <c r="Q198" s="12"/>
      <c r="R198" s="2"/>
      <c r="S198" s="12"/>
      <c r="T198" s="2"/>
      <c r="U198" s="12"/>
      <c r="V198" s="2"/>
      <c r="W198" s="12"/>
      <c r="X198" s="2"/>
      <c r="Y198" s="12"/>
      <c r="Z198" s="12"/>
      <c r="AA198" s="12"/>
      <c r="AB198" s="12"/>
      <c r="AC198" s="12"/>
      <c r="AD198" s="12"/>
    </row>
    <row r="199" ht="15.75" customHeight="1">
      <c r="A199" s="12"/>
      <c r="B199" s="12"/>
      <c r="C199" s="12"/>
      <c r="D199" s="2"/>
      <c r="E199" s="2"/>
      <c r="F199" s="12"/>
      <c r="G199" s="12"/>
      <c r="H199" s="2"/>
      <c r="I199" s="12"/>
      <c r="J199" s="2"/>
      <c r="K199" s="12"/>
      <c r="L199" s="2"/>
      <c r="M199" s="12"/>
      <c r="N199" s="2"/>
      <c r="O199" s="12"/>
      <c r="P199" s="12"/>
      <c r="Q199" s="12"/>
      <c r="R199" s="2"/>
      <c r="S199" s="12"/>
      <c r="T199" s="2"/>
      <c r="U199" s="12"/>
      <c r="V199" s="2"/>
      <c r="W199" s="12"/>
      <c r="X199" s="2"/>
      <c r="Y199" s="12"/>
      <c r="Z199" s="12"/>
      <c r="AA199" s="12"/>
      <c r="AB199" s="12"/>
      <c r="AC199" s="12"/>
      <c r="AD199" s="12"/>
    </row>
    <row r="200" ht="15.75" customHeight="1">
      <c r="A200" s="12"/>
      <c r="B200" s="12"/>
      <c r="C200" s="12"/>
      <c r="D200" s="2"/>
      <c r="E200" s="2"/>
      <c r="F200" s="12"/>
      <c r="G200" s="12"/>
      <c r="H200" s="2"/>
      <c r="I200" s="12"/>
      <c r="J200" s="2"/>
      <c r="K200" s="12"/>
      <c r="L200" s="2"/>
      <c r="M200" s="12"/>
      <c r="N200" s="2"/>
      <c r="O200" s="12"/>
      <c r="P200" s="12"/>
      <c r="Q200" s="12"/>
      <c r="R200" s="2"/>
      <c r="S200" s="12"/>
      <c r="T200" s="2"/>
      <c r="U200" s="12"/>
      <c r="V200" s="2"/>
      <c r="W200" s="12"/>
      <c r="X200" s="2"/>
      <c r="Y200" s="12"/>
      <c r="Z200" s="12"/>
      <c r="AA200" s="12"/>
      <c r="AB200" s="12"/>
      <c r="AC200" s="12"/>
      <c r="AD200" s="12"/>
    </row>
    <row r="201" ht="15.75" customHeight="1">
      <c r="A201" s="12"/>
      <c r="B201" s="12"/>
      <c r="C201" s="12"/>
      <c r="D201" s="2"/>
      <c r="E201" s="2"/>
      <c r="F201" s="12"/>
      <c r="G201" s="12"/>
      <c r="H201" s="2"/>
      <c r="I201" s="12"/>
      <c r="J201" s="2"/>
      <c r="K201" s="12"/>
      <c r="L201" s="2"/>
      <c r="M201" s="12"/>
      <c r="N201" s="2"/>
      <c r="O201" s="12"/>
      <c r="P201" s="12"/>
      <c r="Q201" s="12"/>
      <c r="R201" s="2"/>
      <c r="S201" s="12"/>
      <c r="T201" s="2"/>
      <c r="U201" s="12"/>
      <c r="V201" s="2"/>
      <c r="W201" s="12"/>
      <c r="X201" s="2"/>
      <c r="Y201" s="12"/>
      <c r="Z201" s="12"/>
      <c r="AA201" s="12"/>
      <c r="AB201" s="12"/>
      <c r="AC201" s="12"/>
      <c r="AD201" s="12"/>
    </row>
    <row r="202" ht="15.75" customHeight="1">
      <c r="A202" s="12"/>
      <c r="B202" s="12"/>
      <c r="C202" s="12"/>
      <c r="D202" s="2"/>
      <c r="E202" s="2"/>
      <c r="F202" s="12"/>
      <c r="G202" s="12"/>
      <c r="H202" s="2"/>
      <c r="I202" s="12"/>
      <c r="J202" s="2"/>
      <c r="K202" s="12"/>
      <c r="L202" s="2"/>
      <c r="M202" s="12"/>
      <c r="N202" s="2"/>
      <c r="O202" s="12"/>
      <c r="P202" s="12"/>
      <c r="Q202" s="12"/>
      <c r="R202" s="2"/>
      <c r="S202" s="12"/>
      <c r="T202" s="2"/>
      <c r="U202" s="12"/>
      <c r="V202" s="2"/>
      <c r="W202" s="12"/>
      <c r="X202" s="2"/>
      <c r="Y202" s="12"/>
      <c r="Z202" s="12"/>
      <c r="AA202" s="12"/>
      <c r="AB202" s="12"/>
      <c r="AC202" s="12"/>
      <c r="AD202" s="12"/>
    </row>
    <row r="203" ht="15.75" customHeight="1">
      <c r="A203" s="12"/>
      <c r="B203" s="12"/>
      <c r="C203" s="12"/>
      <c r="D203" s="2"/>
      <c r="E203" s="2"/>
      <c r="F203" s="12"/>
      <c r="G203" s="12"/>
      <c r="H203" s="2"/>
      <c r="I203" s="12"/>
      <c r="J203" s="2"/>
      <c r="K203" s="12"/>
      <c r="L203" s="2"/>
      <c r="M203" s="12"/>
      <c r="N203" s="2"/>
      <c r="O203" s="12"/>
      <c r="P203" s="12"/>
      <c r="Q203" s="12"/>
      <c r="R203" s="2"/>
      <c r="S203" s="12"/>
      <c r="T203" s="2"/>
      <c r="U203" s="12"/>
      <c r="V203" s="2"/>
      <c r="W203" s="12"/>
      <c r="X203" s="2"/>
      <c r="Y203" s="12"/>
      <c r="Z203" s="12"/>
      <c r="AA203" s="12"/>
      <c r="AB203" s="12"/>
      <c r="AC203" s="12"/>
      <c r="AD203" s="12"/>
    </row>
    <row r="204" ht="15.75" customHeight="1">
      <c r="A204" s="12"/>
      <c r="B204" s="12"/>
      <c r="C204" s="12"/>
      <c r="D204" s="2"/>
      <c r="E204" s="2"/>
      <c r="F204" s="12"/>
      <c r="G204" s="12"/>
      <c r="H204" s="2"/>
      <c r="I204" s="12"/>
      <c r="J204" s="2"/>
      <c r="K204" s="12"/>
      <c r="L204" s="2"/>
      <c r="M204" s="12"/>
      <c r="N204" s="2"/>
      <c r="O204" s="12"/>
      <c r="P204" s="12"/>
      <c r="Q204" s="12"/>
      <c r="R204" s="2"/>
      <c r="S204" s="12"/>
      <c r="T204" s="2"/>
      <c r="U204" s="12"/>
      <c r="V204" s="2"/>
      <c r="W204" s="12"/>
      <c r="X204" s="2"/>
      <c r="Y204" s="12"/>
      <c r="Z204" s="12"/>
      <c r="AA204" s="12"/>
      <c r="AB204" s="12"/>
      <c r="AC204" s="12"/>
      <c r="AD204" s="12"/>
    </row>
    <row r="205" ht="15.75" customHeight="1">
      <c r="A205" s="12"/>
      <c r="B205" s="12"/>
      <c r="C205" s="12"/>
      <c r="D205" s="2"/>
      <c r="E205" s="2"/>
      <c r="F205" s="12"/>
      <c r="G205" s="12"/>
      <c r="H205" s="2"/>
      <c r="I205" s="12"/>
      <c r="J205" s="2"/>
      <c r="K205" s="12"/>
      <c r="L205" s="2"/>
      <c r="M205" s="12"/>
      <c r="N205" s="2"/>
      <c r="O205" s="12"/>
      <c r="P205" s="12"/>
      <c r="Q205" s="12"/>
      <c r="R205" s="2"/>
      <c r="S205" s="12"/>
      <c r="T205" s="2"/>
      <c r="U205" s="12"/>
      <c r="V205" s="2"/>
      <c r="W205" s="12"/>
      <c r="X205" s="2"/>
      <c r="Y205" s="12"/>
      <c r="Z205" s="12"/>
      <c r="AA205" s="12"/>
      <c r="AB205" s="12"/>
      <c r="AC205" s="12"/>
      <c r="AD205" s="12"/>
    </row>
    <row r="206" ht="15.75" customHeight="1">
      <c r="A206" s="12"/>
      <c r="B206" s="12"/>
      <c r="C206" s="12"/>
      <c r="D206" s="2"/>
      <c r="E206" s="2"/>
      <c r="F206" s="12"/>
      <c r="G206" s="12"/>
      <c r="H206" s="2"/>
      <c r="I206" s="12"/>
      <c r="J206" s="2"/>
      <c r="K206" s="12"/>
      <c r="L206" s="2"/>
      <c r="M206" s="12"/>
      <c r="N206" s="2"/>
      <c r="O206" s="12"/>
      <c r="P206" s="12"/>
      <c r="Q206" s="12"/>
      <c r="R206" s="2"/>
      <c r="S206" s="12"/>
      <c r="T206" s="2"/>
      <c r="U206" s="12"/>
      <c r="V206" s="2"/>
      <c r="W206" s="12"/>
      <c r="X206" s="2"/>
      <c r="Y206" s="12"/>
      <c r="Z206" s="12"/>
      <c r="AA206" s="12"/>
      <c r="AB206" s="12"/>
      <c r="AC206" s="12"/>
      <c r="AD206" s="12"/>
    </row>
    <row r="207" ht="15.75" customHeight="1">
      <c r="A207" s="12"/>
      <c r="B207" s="12"/>
      <c r="C207" s="12"/>
      <c r="D207" s="2"/>
      <c r="E207" s="2"/>
      <c r="F207" s="12"/>
      <c r="G207" s="12"/>
      <c r="H207" s="2"/>
      <c r="I207" s="12"/>
      <c r="J207" s="2"/>
      <c r="K207" s="12"/>
      <c r="L207" s="2"/>
      <c r="M207" s="12"/>
      <c r="N207" s="2"/>
      <c r="O207" s="12"/>
      <c r="P207" s="12"/>
      <c r="Q207" s="12"/>
      <c r="R207" s="2"/>
      <c r="S207" s="12"/>
      <c r="T207" s="2"/>
      <c r="U207" s="12"/>
      <c r="V207" s="2"/>
      <c r="W207" s="12"/>
      <c r="X207" s="2"/>
      <c r="Y207" s="12"/>
      <c r="Z207" s="12"/>
      <c r="AA207" s="12"/>
      <c r="AB207" s="12"/>
      <c r="AC207" s="12"/>
      <c r="AD207" s="12"/>
    </row>
    <row r="208" ht="15.75" customHeight="1">
      <c r="A208" s="12"/>
      <c r="B208" s="12"/>
      <c r="C208" s="12"/>
      <c r="D208" s="2"/>
      <c r="E208" s="2"/>
      <c r="F208" s="12"/>
      <c r="G208" s="12"/>
      <c r="H208" s="2"/>
      <c r="I208" s="12"/>
      <c r="J208" s="2"/>
      <c r="K208" s="12"/>
      <c r="L208" s="2"/>
      <c r="M208" s="12"/>
      <c r="N208" s="2"/>
      <c r="O208" s="12"/>
      <c r="P208" s="12"/>
      <c r="Q208" s="12"/>
      <c r="R208" s="2"/>
      <c r="S208" s="12"/>
      <c r="T208" s="2"/>
      <c r="U208" s="12"/>
      <c r="V208" s="2"/>
      <c r="W208" s="12"/>
      <c r="X208" s="2"/>
      <c r="Y208" s="12"/>
      <c r="Z208" s="12"/>
      <c r="AA208" s="12"/>
      <c r="AB208" s="12"/>
      <c r="AC208" s="12"/>
      <c r="AD208" s="12"/>
    </row>
    <row r="209" ht="15.75" customHeight="1">
      <c r="A209" s="12"/>
      <c r="B209" s="12"/>
      <c r="C209" s="12"/>
      <c r="D209" s="2"/>
      <c r="E209" s="2"/>
      <c r="F209" s="12"/>
      <c r="G209" s="12"/>
      <c r="H209" s="2"/>
      <c r="I209" s="12"/>
      <c r="J209" s="2"/>
      <c r="K209" s="12"/>
      <c r="L209" s="2"/>
      <c r="M209" s="12"/>
      <c r="N209" s="2"/>
      <c r="O209" s="12"/>
      <c r="P209" s="12"/>
      <c r="Q209" s="12"/>
      <c r="R209" s="2"/>
      <c r="S209" s="12"/>
      <c r="T209" s="2"/>
      <c r="U209" s="12"/>
      <c r="V209" s="2"/>
      <c r="W209" s="12"/>
      <c r="X209" s="2"/>
      <c r="Y209" s="12"/>
      <c r="Z209" s="12"/>
      <c r="AA209" s="12"/>
      <c r="AB209" s="12"/>
      <c r="AC209" s="12"/>
      <c r="AD209" s="12"/>
    </row>
    <row r="210" ht="15.75" customHeight="1">
      <c r="A210" s="12"/>
      <c r="B210" s="12"/>
      <c r="C210" s="12"/>
      <c r="D210" s="2"/>
      <c r="E210" s="2"/>
      <c r="F210" s="12"/>
      <c r="G210" s="12"/>
      <c r="H210" s="2"/>
      <c r="I210" s="12"/>
      <c r="J210" s="2"/>
      <c r="K210" s="12"/>
      <c r="L210" s="2"/>
      <c r="M210" s="12"/>
      <c r="N210" s="2"/>
      <c r="O210" s="12"/>
      <c r="P210" s="12"/>
      <c r="Q210" s="12"/>
      <c r="R210" s="2"/>
      <c r="S210" s="12"/>
      <c r="T210" s="2"/>
      <c r="U210" s="12"/>
      <c r="V210" s="2"/>
      <c r="W210" s="12"/>
      <c r="X210" s="2"/>
      <c r="Y210" s="12"/>
      <c r="Z210" s="12"/>
      <c r="AA210" s="12"/>
      <c r="AB210" s="12"/>
      <c r="AC210" s="12"/>
      <c r="AD210" s="12"/>
    </row>
    <row r="211" ht="15.75" customHeight="1">
      <c r="A211" s="12"/>
      <c r="B211" s="12"/>
      <c r="C211" s="12"/>
      <c r="D211" s="2"/>
      <c r="E211" s="2"/>
      <c r="F211" s="12"/>
      <c r="G211" s="12"/>
      <c r="H211" s="2"/>
      <c r="I211" s="12"/>
      <c r="J211" s="2"/>
      <c r="K211" s="12"/>
      <c r="L211" s="2"/>
      <c r="M211" s="12"/>
      <c r="N211" s="2"/>
      <c r="O211" s="12"/>
      <c r="P211" s="12"/>
      <c r="Q211" s="12"/>
      <c r="R211" s="2"/>
      <c r="S211" s="12"/>
      <c r="T211" s="2"/>
      <c r="U211" s="12"/>
      <c r="V211" s="2"/>
      <c r="W211" s="12"/>
      <c r="X211" s="2"/>
      <c r="Y211" s="12"/>
      <c r="Z211" s="12"/>
      <c r="AA211" s="12"/>
      <c r="AB211" s="12"/>
      <c r="AC211" s="12"/>
      <c r="AD211" s="12"/>
    </row>
    <row r="212" ht="15.75" customHeight="1">
      <c r="A212" s="12"/>
      <c r="B212" s="12"/>
      <c r="C212" s="12"/>
      <c r="D212" s="2"/>
      <c r="E212" s="2"/>
      <c r="F212" s="12"/>
      <c r="G212" s="12"/>
      <c r="H212" s="2"/>
      <c r="I212" s="12"/>
      <c r="J212" s="2"/>
      <c r="K212" s="12"/>
      <c r="L212" s="2"/>
      <c r="M212" s="12"/>
      <c r="N212" s="2"/>
      <c r="O212" s="12"/>
      <c r="P212" s="12"/>
      <c r="Q212" s="12"/>
      <c r="R212" s="2"/>
      <c r="S212" s="12"/>
      <c r="T212" s="2"/>
      <c r="U212" s="12"/>
      <c r="V212" s="2"/>
      <c r="W212" s="12"/>
      <c r="X212" s="2"/>
      <c r="Y212" s="12"/>
      <c r="Z212" s="12"/>
      <c r="AA212" s="12"/>
      <c r="AB212" s="12"/>
      <c r="AC212" s="12"/>
      <c r="AD212" s="12"/>
    </row>
    <row r="213" ht="15.75" customHeight="1">
      <c r="A213" s="12"/>
      <c r="B213" s="12"/>
      <c r="C213" s="12"/>
      <c r="D213" s="2"/>
      <c r="E213" s="2"/>
      <c r="F213" s="12"/>
      <c r="G213" s="12"/>
      <c r="H213" s="2"/>
      <c r="I213" s="12"/>
      <c r="J213" s="2"/>
      <c r="K213" s="12"/>
      <c r="L213" s="2"/>
      <c r="M213" s="12"/>
      <c r="N213" s="2"/>
      <c r="O213" s="12"/>
      <c r="P213" s="12"/>
      <c r="Q213" s="12"/>
      <c r="R213" s="2"/>
      <c r="S213" s="12"/>
      <c r="T213" s="2"/>
      <c r="U213" s="12"/>
      <c r="V213" s="2"/>
      <c r="W213" s="12"/>
      <c r="X213" s="2"/>
      <c r="Y213" s="12"/>
      <c r="Z213" s="12"/>
      <c r="AA213" s="12"/>
      <c r="AB213" s="12"/>
      <c r="AC213" s="12"/>
      <c r="AD213" s="12"/>
    </row>
    <row r="214" ht="15.75" customHeight="1">
      <c r="A214" s="12"/>
      <c r="B214" s="12"/>
      <c r="C214" s="12"/>
      <c r="D214" s="2"/>
      <c r="E214" s="2"/>
      <c r="F214" s="12"/>
      <c r="G214" s="12"/>
      <c r="H214" s="2"/>
      <c r="I214" s="12"/>
      <c r="J214" s="2"/>
      <c r="K214" s="12"/>
      <c r="L214" s="2"/>
      <c r="M214" s="12"/>
      <c r="N214" s="2"/>
      <c r="O214" s="12"/>
      <c r="P214" s="12"/>
      <c r="Q214" s="12"/>
      <c r="R214" s="2"/>
      <c r="S214" s="12"/>
      <c r="T214" s="2"/>
      <c r="U214" s="12"/>
      <c r="V214" s="2"/>
      <c r="W214" s="12"/>
      <c r="X214" s="2"/>
      <c r="Y214" s="12"/>
      <c r="Z214" s="12"/>
      <c r="AA214" s="12"/>
      <c r="AB214" s="12"/>
      <c r="AC214" s="12"/>
      <c r="AD214" s="12"/>
    </row>
    <row r="215" ht="15.75" customHeight="1">
      <c r="A215" s="12"/>
      <c r="B215" s="12"/>
      <c r="C215" s="12"/>
      <c r="D215" s="2"/>
      <c r="E215" s="2"/>
      <c r="F215" s="12"/>
      <c r="G215" s="12"/>
      <c r="H215" s="2"/>
      <c r="I215" s="12"/>
      <c r="J215" s="2"/>
      <c r="K215" s="12"/>
      <c r="L215" s="2"/>
      <c r="M215" s="12"/>
      <c r="N215" s="2"/>
      <c r="O215" s="12"/>
      <c r="P215" s="12"/>
      <c r="Q215" s="12"/>
      <c r="R215" s="2"/>
      <c r="S215" s="12"/>
      <c r="T215" s="2"/>
      <c r="U215" s="12"/>
      <c r="V215" s="2"/>
      <c r="W215" s="12"/>
      <c r="X215" s="2"/>
      <c r="Y215" s="12"/>
      <c r="Z215" s="12"/>
      <c r="AA215" s="12"/>
      <c r="AB215" s="12"/>
      <c r="AC215" s="12"/>
      <c r="AD215" s="12"/>
    </row>
    <row r="216" ht="15.75" customHeight="1">
      <c r="A216" s="12"/>
      <c r="B216" s="12"/>
      <c r="C216" s="12"/>
      <c r="D216" s="2"/>
      <c r="E216" s="2"/>
      <c r="F216" s="12"/>
      <c r="G216" s="12"/>
      <c r="H216" s="2"/>
      <c r="I216" s="12"/>
      <c r="J216" s="2"/>
      <c r="K216" s="12"/>
      <c r="L216" s="2"/>
      <c r="M216" s="12"/>
      <c r="N216" s="2"/>
      <c r="O216" s="12"/>
      <c r="P216" s="12"/>
      <c r="Q216" s="12"/>
      <c r="R216" s="2"/>
      <c r="S216" s="12"/>
      <c r="T216" s="2"/>
      <c r="U216" s="12"/>
      <c r="V216" s="2"/>
      <c r="W216" s="12"/>
      <c r="X216" s="2"/>
      <c r="Y216" s="12"/>
      <c r="Z216" s="12"/>
      <c r="AA216" s="12"/>
      <c r="AB216" s="12"/>
      <c r="AC216" s="12"/>
      <c r="AD216" s="12"/>
    </row>
    <row r="217" ht="15.75" customHeight="1">
      <c r="A217" s="12"/>
      <c r="B217" s="12"/>
      <c r="C217" s="12"/>
      <c r="D217" s="2"/>
      <c r="E217" s="2"/>
      <c r="F217" s="12"/>
      <c r="G217" s="12"/>
      <c r="H217" s="2"/>
      <c r="I217" s="12"/>
      <c r="J217" s="2"/>
      <c r="K217" s="12"/>
      <c r="L217" s="2"/>
      <c r="M217" s="12"/>
      <c r="N217" s="2"/>
      <c r="O217" s="12"/>
      <c r="P217" s="12"/>
      <c r="Q217" s="12"/>
      <c r="R217" s="2"/>
      <c r="S217" s="12"/>
      <c r="T217" s="2"/>
      <c r="U217" s="12"/>
      <c r="V217" s="2"/>
      <c r="W217" s="12"/>
      <c r="X217" s="2"/>
      <c r="Y217" s="12"/>
      <c r="Z217" s="12"/>
      <c r="AA217" s="12"/>
      <c r="AB217" s="12"/>
      <c r="AC217" s="12"/>
      <c r="AD217" s="12"/>
    </row>
    <row r="218" ht="15.75" customHeight="1">
      <c r="A218" s="12"/>
      <c r="B218" s="12"/>
      <c r="C218" s="12"/>
      <c r="D218" s="2"/>
      <c r="E218" s="2"/>
      <c r="F218" s="12"/>
      <c r="G218" s="12"/>
      <c r="H218" s="2"/>
      <c r="I218" s="12"/>
      <c r="J218" s="2"/>
      <c r="K218" s="12"/>
      <c r="L218" s="2"/>
      <c r="M218" s="12"/>
      <c r="N218" s="2"/>
      <c r="O218" s="12"/>
      <c r="P218" s="12"/>
      <c r="Q218" s="12"/>
      <c r="R218" s="2"/>
      <c r="S218" s="12"/>
      <c r="T218" s="2"/>
      <c r="U218" s="12"/>
      <c r="V218" s="2"/>
      <c r="W218" s="12"/>
      <c r="X218" s="2"/>
      <c r="Y218" s="12"/>
      <c r="Z218" s="12"/>
      <c r="AA218" s="12"/>
      <c r="AB218" s="12"/>
      <c r="AC218" s="12"/>
      <c r="AD218" s="12"/>
    </row>
    <row r="219" ht="15.75" customHeight="1">
      <c r="A219" s="12"/>
      <c r="B219" s="12"/>
      <c r="C219" s="12"/>
      <c r="D219" s="2"/>
      <c r="E219" s="2"/>
      <c r="F219" s="12"/>
      <c r="G219" s="12"/>
      <c r="H219" s="2"/>
      <c r="I219" s="12"/>
      <c r="J219" s="2"/>
      <c r="K219" s="12"/>
      <c r="L219" s="2"/>
      <c r="M219" s="12"/>
      <c r="N219" s="2"/>
      <c r="O219" s="12"/>
      <c r="P219" s="12"/>
      <c r="Q219" s="12"/>
      <c r="R219" s="2"/>
      <c r="S219" s="12"/>
      <c r="T219" s="2"/>
      <c r="U219" s="12"/>
      <c r="V219" s="2"/>
      <c r="W219" s="12"/>
      <c r="X219" s="2"/>
      <c r="Y219" s="12"/>
      <c r="Z219" s="12"/>
      <c r="AA219" s="12"/>
      <c r="AB219" s="12"/>
      <c r="AC219" s="12"/>
      <c r="AD219" s="12"/>
    </row>
    <row r="220" ht="15.75" customHeight="1">
      <c r="A220" s="12"/>
      <c r="B220" s="12"/>
      <c r="C220" s="12"/>
      <c r="D220" s="2"/>
      <c r="E220" s="2"/>
      <c r="F220" s="12"/>
      <c r="G220" s="12"/>
      <c r="H220" s="2"/>
      <c r="I220" s="12"/>
      <c r="J220" s="2"/>
      <c r="K220" s="12"/>
      <c r="L220" s="2"/>
      <c r="M220" s="12"/>
      <c r="N220" s="2"/>
      <c r="O220" s="12"/>
      <c r="P220" s="12"/>
      <c r="Q220" s="12"/>
      <c r="R220" s="2"/>
      <c r="S220" s="12"/>
      <c r="T220" s="2"/>
      <c r="U220" s="12"/>
      <c r="V220" s="2"/>
      <c r="W220" s="12"/>
      <c r="X220" s="2"/>
      <c r="Y220" s="12"/>
      <c r="Z220" s="12"/>
      <c r="AA220" s="12"/>
      <c r="AB220" s="12"/>
      <c r="AC220" s="12"/>
      <c r="AD220" s="12"/>
    </row>
    <row r="221" ht="15.75" customHeight="1">
      <c r="A221" s="12"/>
      <c r="B221" s="12"/>
      <c r="C221" s="12"/>
      <c r="D221" s="2"/>
      <c r="E221" s="2"/>
      <c r="F221" s="12"/>
      <c r="G221" s="12"/>
      <c r="H221" s="2"/>
      <c r="I221" s="12"/>
      <c r="J221" s="2"/>
      <c r="K221" s="12"/>
      <c r="L221" s="2"/>
      <c r="M221" s="12"/>
      <c r="N221" s="2"/>
      <c r="O221" s="12"/>
      <c r="P221" s="12"/>
      <c r="Q221" s="12"/>
      <c r="R221" s="2"/>
      <c r="S221" s="12"/>
      <c r="T221" s="2"/>
      <c r="U221" s="12"/>
      <c r="V221" s="2"/>
      <c r="W221" s="12"/>
      <c r="X221" s="2"/>
      <c r="Y221" s="12"/>
      <c r="Z221" s="12"/>
      <c r="AA221" s="12"/>
      <c r="AB221" s="12"/>
      <c r="AC221" s="12"/>
      <c r="AD221" s="12"/>
    </row>
    <row r="222" ht="15.75" customHeight="1">
      <c r="A222" s="12"/>
      <c r="B222" s="12"/>
      <c r="C222" s="12"/>
      <c r="D222" s="2"/>
      <c r="E222" s="2"/>
      <c r="F222" s="12"/>
      <c r="G222" s="12"/>
      <c r="H222" s="2"/>
      <c r="I222" s="12"/>
      <c r="J222" s="2"/>
      <c r="K222" s="12"/>
      <c r="L222" s="2"/>
      <c r="M222" s="12"/>
      <c r="N222" s="2"/>
      <c r="O222" s="12"/>
      <c r="P222" s="12"/>
      <c r="Q222" s="12"/>
      <c r="R222" s="2"/>
      <c r="S222" s="12"/>
      <c r="T222" s="2"/>
      <c r="U222" s="12"/>
      <c r="V222" s="2"/>
      <c r="W222" s="12"/>
      <c r="X222" s="2"/>
      <c r="Y222" s="12"/>
      <c r="Z222" s="12"/>
      <c r="AA222" s="12"/>
      <c r="AB222" s="12"/>
      <c r="AC222" s="12"/>
      <c r="AD222" s="12"/>
    </row>
    <row r="223" ht="15.75" customHeight="1">
      <c r="A223" s="12"/>
      <c r="B223" s="12"/>
      <c r="C223" s="12"/>
      <c r="D223" s="2"/>
      <c r="E223" s="2"/>
      <c r="F223" s="12"/>
      <c r="G223" s="12"/>
      <c r="H223" s="2"/>
      <c r="I223" s="12"/>
      <c r="J223" s="2"/>
      <c r="K223" s="12"/>
      <c r="L223" s="2"/>
      <c r="M223" s="12"/>
      <c r="N223" s="2"/>
      <c r="O223" s="12"/>
      <c r="P223" s="12"/>
      <c r="Q223" s="12"/>
      <c r="R223" s="2"/>
      <c r="S223" s="12"/>
      <c r="T223" s="2"/>
      <c r="U223" s="12"/>
      <c r="V223" s="2"/>
      <c r="W223" s="12"/>
      <c r="X223" s="2"/>
      <c r="Y223" s="12"/>
      <c r="Z223" s="12"/>
      <c r="AA223" s="12"/>
      <c r="AB223" s="12"/>
      <c r="AC223" s="12"/>
      <c r="AD223" s="12"/>
    </row>
    <row r="224" ht="15.75" customHeight="1">
      <c r="A224" s="12"/>
      <c r="B224" s="12"/>
      <c r="C224" s="12"/>
      <c r="D224" s="2"/>
      <c r="E224" s="2"/>
      <c r="F224" s="12"/>
      <c r="G224" s="12"/>
      <c r="H224" s="2"/>
      <c r="I224" s="12"/>
      <c r="J224" s="2"/>
      <c r="K224" s="12"/>
      <c r="L224" s="2"/>
      <c r="M224" s="12"/>
      <c r="N224" s="2"/>
      <c r="O224" s="12"/>
      <c r="P224" s="12"/>
      <c r="Q224" s="12"/>
      <c r="R224" s="2"/>
      <c r="S224" s="12"/>
      <c r="T224" s="2"/>
      <c r="U224" s="12"/>
      <c r="V224" s="2"/>
      <c r="W224" s="12"/>
      <c r="X224" s="2"/>
      <c r="Y224" s="12"/>
      <c r="Z224" s="12"/>
      <c r="AA224" s="12"/>
      <c r="AB224" s="12"/>
      <c r="AC224" s="12"/>
      <c r="AD224" s="12"/>
    </row>
    <row r="225" ht="15.75" customHeight="1">
      <c r="A225" s="12"/>
      <c r="B225" s="12"/>
      <c r="C225" s="12"/>
      <c r="D225" s="2"/>
      <c r="E225" s="2"/>
      <c r="F225" s="12"/>
      <c r="G225" s="12"/>
      <c r="H225" s="2"/>
      <c r="I225" s="12"/>
      <c r="J225" s="2"/>
      <c r="K225" s="12"/>
      <c r="L225" s="2"/>
      <c r="M225" s="12"/>
      <c r="N225" s="2"/>
      <c r="O225" s="12"/>
      <c r="P225" s="12"/>
      <c r="Q225" s="12"/>
      <c r="R225" s="2"/>
      <c r="S225" s="12"/>
      <c r="T225" s="2"/>
      <c r="U225" s="12"/>
      <c r="V225" s="2"/>
      <c r="W225" s="12"/>
      <c r="X225" s="2"/>
      <c r="Y225" s="12"/>
      <c r="Z225" s="12"/>
      <c r="AA225" s="12"/>
      <c r="AB225" s="12"/>
      <c r="AC225" s="12"/>
      <c r="AD225" s="12"/>
    </row>
    <row r="226" ht="15.75" customHeight="1">
      <c r="A226" s="12"/>
      <c r="B226" s="12"/>
      <c r="C226" s="12"/>
      <c r="D226" s="2"/>
      <c r="E226" s="2"/>
      <c r="F226" s="12"/>
      <c r="G226" s="12"/>
      <c r="H226" s="2"/>
      <c r="I226" s="12"/>
      <c r="J226" s="2"/>
      <c r="K226" s="12"/>
      <c r="L226" s="2"/>
      <c r="M226" s="12"/>
      <c r="N226" s="2"/>
      <c r="O226" s="12"/>
      <c r="P226" s="12"/>
      <c r="Q226" s="12"/>
      <c r="R226" s="2"/>
      <c r="S226" s="12"/>
      <c r="T226" s="2"/>
      <c r="U226" s="12"/>
      <c r="V226" s="2"/>
      <c r="W226" s="12"/>
      <c r="X226" s="2"/>
      <c r="Y226" s="12"/>
      <c r="Z226" s="12"/>
      <c r="AA226" s="12"/>
      <c r="AB226" s="12"/>
      <c r="AC226" s="12"/>
      <c r="AD226" s="12"/>
    </row>
    <row r="227" ht="15.75" customHeight="1">
      <c r="A227" s="12"/>
      <c r="B227" s="12"/>
      <c r="C227" s="12"/>
      <c r="D227" s="2"/>
      <c r="E227" s="2"/>
      <c r="F227" s="12"/>
      <c r="G227" s="12"/>
      <c r="H227" s="2"/>
      <c r="I227" s="12"/>
      <c r="J227" s="2"/>
      <c r="K227" s="12"/>
      <c r="L227" s="2"/>
      <c r="M227" s="12"/>
      <c r="N227" s="2"/>
      <c r="O227" s="12"/>
      <c r="P227" s="12"/>
      <c r="Q227" s="12"/>
      <c r="R227" s="2"/>
      <c r="S227" s="12"/>
      <c r="T227" s="2"/>
      <c r="U227" s="12"/>
      <c r="V227" s="2"/>
      <c r="W227" s="12"/>
      <c r="X227" s="2"/>
      <c r="Y227" s="12"/>
      <c r="Z227" s="12"/>
      <c r="AA227" s="12"/>
      <c r="AB227" s="12"/>
      <c r="AC227" s="12"/>
      <c r="AD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ht="15.75" customHeight="1">
      <c r="A930" s="12"/>
      <c r="B930" s="12"/>
      <c r="C930" s="12"/>
    </row>
    <row r="931" ht="15.75" customHeight="1">
      <c r="A931" s="12"/>
      <c r="B931" s="12"/>
      <c r="C931" s="12"/>
    </row>
    <row r="932" ht="15.75" customHeight="1">
      <c r="A932" s="12"/>
      <c r="B932" s="12"/>
      <c r="C932" s="12"/>
    </row>
    <row r="933" ht="15.75" customHeight="1">
      <c r="A933" s="12"/>
      <c r="B933" s="12"/>
      <c r="C933" s="12"/>
    </row>
    <row r="934" ht="15.75" customHeight="1">
      <c r="A934" s="12"/>
      <c r="B934" s="12"/>
      <c r="C934" s="12"/>
    </row>
    <row r="935" ht="15.75" customHeight="1">
      <c r="A935" s="12"/>
      <c r="B935" s="12"/>
      <c r="C935" s="12"/>
    </row>
    <row r="936" ht="15.75" customHeight="1">
      <c r="A936" s="12"/>
      <c r="B936" s="12"/>
      <c r="C936" s="12"/>
    </row>
    <row r="937" ht="15.75" customHeight="1">
      <c r="A937" s="12"/>
      <c r="B937" s="12"/>
      <c r="C937" s="12"/>
    </row>
    <row r="938" ht="15.75" customHeight="1">
      <c r="A938" s="12"/>
      <c r="B938" s="12"/>
      <c r="C938" s="12"/>
    </row>
    <row r="939" ht="15.75" customHeight="1">
      <c r="A939" s="12"/>
      <c r="B939" s="12"/>
      <c r="C939" s="12"/>
    </row>
    <row r="940" ht="15.75" customHeight="1">
      <c r="A940" s="12"/>
      <c r="B940" s="12"/>
      <c r="C940" s="12"/>
    </row>
    <row r="941" ht="15.75" customHeight="1">
      <c r="A941" s="12"/>
      <c r="B941" s="12"/>
      <c r="C941" s="12"/>
    </row>
    <row r="942" ht="15.75" customHeight="1">
      <c r="A942" s="12"/>
      <c r="B942" s="12"/>
      <c r="C942" s="12"/>
    </row>
    <row r="943" ht="15.75" customHeight="1">
      <c r="A943" s="12"/>
      <c r="B943" s="12"/>
      <c r="C943" s="12"/>
    </row>
    <row r="944" ht="15.75" customHeight="1">
      <c r="A944" s="12"/>
      <c r="B944" s="12"/>
      <c r="C944" s="12"/>
    </row>
    <row r="945" ht="15.75" customHeight="1">
      <c r="A945" s="12"/>
      <c r="B945" s="12"/>
      <c r="C945" s="12"/>
    </row>
    <row r="946" ht="15.75" customHeight="1">
      <c r="A946" s="12"/>
      <c r="B946" s="12"/>
      <c r="C946" s="12"/>
    </row>
    <row r="947" ht="15.75" customHeight="1">
      <c r="A947" s="12"/>
      <c r="B947" s="12"/>
      <c r="C947" s="12"/>
    </row>
    <row r="948" ht="15.75" customHeight="1">
      <c r="A948" s="12"/>
      <c r="B948" s="12"/>
      <c r="C948" s="12"/>
    </row>
    <row r="949" ht="15.75" customHeight="1">
      <c r="A949" s="12"/>
      <c r="B949" s="12"/>
      <c r="C949" s="12"/>
    </row>
    <row r="950" ht="15.75" customHeight="1">
      <c r="A950" s="12"/>
      <c r="B950" s="12"/>
      <c r="C950" s="12"/>
    </row>
    <row r="951" ht="15.75" customHeight="1">
      <c r="A951" s="12"/>
      <c r="B951" s="12"/>
      <c r="C951" s="12"/>
    </row>
    <row r="952" ht="15.75" customHeight="1">
      <c r="A952" s="12"/>
      <c r="B952" s="12"/>
      <c r="C952" s="12"/>
    </row>
    <row r="953" ht="15.75" customHeight="1">
      <c r="A953" s="12"/>
      <c r="B953" s="12"/>
      <c r="C953" s="12"/>
    </row>
    <row r="954" ht="15.75" customHeight="1">
      <c r="A954" s="12"/>
      <c r="B954" s="12"/>
      <c r="C954" s="12"/>
    </row>
    <row r="955" ht="15.75" customHeight="1">
      <c r="A955" s="12"/>
      <c r="B955" s="12"/>
      <c r="C955" s="12"/>
    </row>
    <row r="956" ht="15.75" customHeight="1">
      <c r="A956" s="12"/>
      <c r="B956" s="12"/>
      <c r="C956" s="12"/>
    </row>
    <row r="957" ht="15.75" customHeight="1">
      <c r="A957" s="12"/>
      <c r="B957" s="12"/>
      <c r="C957" s="12"/>
    </row>
    <row r="958" ht="15.75" customHeight="1">
      <c r="A958" s="12"/>
      <c r="B958" s="12"/>
      <c r="C958" s="12"/>
    </row>
    <row r="959" ht="15.75" customHeight="1">
      <c r="A959" s="12"/>
      <c r="B959" s="12"/>
      <c r="C959" s="12"/>
    </row>
    <row r="960" ht="15.75" customHeight="1">
      <c r="A960" s="12"/>
      <c r="B960" s="12"/>
      <c r="C960" s="12"/>
    </row>
    <row r="961" ht="15.75" customHeight="1">
      <c r="A961" s="12"/>
      <c r="B961" s="12"/>
      <c r="C961" s="12"/>
    </row>
    <row r="962" ht="15.75" customHeight="1">
      <c r="A962" s="12"/>
      <c r="B962" s="12"/>
      <c r="C962" s="12"/>
    </row>
    <row r="963" ht="15.75" customHeight="1">
      <c r="A963" s="12"/>
      <c r="B963" s="12"/>
      <c r="C963" s="12"/>
    </row>
    <row r="964" ht="15.75" customHeight="1">
      <c r="A964" s="12"/>
      <c r="B964" s="12"/>
      <c r="C964" s="12"/>
    </row>
    <row r="965" ht="15.75" customHeight="1">
      <c r="A965" s="12"/>
      <c r="B965" s="12"/>
      <c r="C965" s="12"/>
    </row>
    <row r="966" ht="15.75" customHeight="1">
      <c r="A966" s="12"/>
      <c r="B966" s="12"/>
      <c r="C966" s="12"/>
    </row>
    <row r="967" ht="15.75" customHeight="1">
      <c r="A967" s="12"/>
      <c r="B967" s="12"/>
      <c r="C967" s="12"/>
    </row>
    <row r="968" ht="15.75" customHeight="1">
      <c r="A968" s="12"/>
      <c r="B968" s="12"/>
      <c r="C968" s="12"/>
    </row>
    <row r="969" ht="15.75" customHeight="1">
      <c r="A969" s="12"/>
      <c r="B969" s="12"/>
      <c r="C969" s="12"/>
    </row>
    <row r="970" ht="15.75" customHeight="1">
      <c r="A970" s="12"/>
      <c r="B970" s="12"/>
      <c r="C970" s="12"/>
    </row>
    <row r="971" ht="15.75" customHeight="1">
      <c r="A971" s="12"/>
      <c r="B971" s="12"/>
      <c r="C971" s="12"/>
    </row>
    <row r="972" ht="15.75" customHeight="1">
      <c r="A972" s="12"/>
      <c r="B972" s="12"/>
      <c r="C972" s="12"/>
    </row>
    <row r="973" ht="15.75" customHeight="1">
      <c r="A973" s="12"/>
      <c r="B973" s="12"/>
      <c r="C973" s="12"/>
    </row>
    <row r="974" ht="15.75" customHeight="1">
      <c r="A974" s="12"/>
      <c r="B974" s="12"/>
      <c r="C974" s="12"/>
    </row>
    <row r="975" ht="15.75" customHeight="1">
      <c r="A975" s="12"/>
      <c r="B975" s="12"/>
      <c r="C975" s="12"/>
    </row>
    <row r="976" ht="15.75" customHeight="1">
      <c r="A976" s="12"/>
      <c r="B976" s="12"/>
      <c r="C976" s="12"/>
    </row>
    <row r="977" ht="15.75" customHeight="1">
      <c r="A977" s="12"/>
      <c r="B977" s="12"/>
      <c r="C977" s="12"/>
    </row>
    <row r="978" ht="15.75" customHeight="1">
      <c r="A978" s="12"/>
      <c r="B978" s="12"/>
      <c r="C978" s="12"/>
    </row>
    <row r="979" ht="15.75" customHeight="1">
      <c r="A979" s="12"/>
      <c r="B979" s="12"/>
      <c r="C979" s="12"/>
    </row>
    <row r="980" ht="15.75" customHeight="1">
      <c r="A980" s="12"/>
      <c r="B980" s="12"/>
      <c r="C980" s="12"/>
    </row>
    <row r="981" ht="15.75" customHeight="1">
      <c r="A981" s="12"/>
      <c r="B981" s="12"/>
      <c r="C981" s="12"/>
    </row>
    <row r="982" ht="15.75" customHeight="1">
      <c r="A982" s="12"/>
      <c r="B982" s="12"/>
      <c r="C982" s="12"/>
    </row>
    <row r="983" ht="15.75" customHeight="1">
      <c r="A983" s="12"/>
      <c r="B983" s="12"/>
      <c r="C983" s="12"/>
    </row>
    <row r="984" ht="15.75" customHeight="1">
      <c r="A984" s="12"/>
      <c r="B984" s="12"/>
      <c r="C984" s="12"/>
    </row>
    <row r="985" ht="15.75" customHeight="1">
      <c r="A985" s="12"/>
      <c r="B985" s="12"/>
      <c r="C985" s="12"/>
    </row>
    <row r="986" ht="15.75" customHeight="1">
      <c r="A986" s="12"/>
      <c r="B986" s="12"/>
      <c r="C986" s="12"/>
    </row>
    <row r="987" ht="15.75" customHeight="1">
      <c r="A987" s="12"/>
      <c r="B987" s="12"/>
      <c r="C987" s="12"/>
    </row>
    <row r="988" ht="15.75" customHeight="1">
      <c r="A988" s="12"/>
      <c r="B988" s="12"/>
      <c r="C988" s="12"/>
    </row>
    <row r="989" ht="15.75" customHeight="1">
      <c r="A989" s="12"/>
      <c r="B989" s="12"/>
      <c r="C989" s="12"/>
    </row>
    <row r="990" ht="15.75" customHeight="1">
      <c r="A990" s="12"/>
      <c r="B990" s="12"/>
      <c r="C990" s="12"/>
    </row>
    <row r="991" ht="15.75" customHeight="1">
      <c r="A991" s="12"/>
      <c r="B991" s="12"/>
      <c r="C991" s="12"/>
    </row>
    <row r="992" ht="15.75" customHeight="1">
      <c r="A992" s="12"/>
      <c r="B992" s="12"/>
      <c r="C992" s="12"/>
    </row>
    <row r="993" ht="15.75" customHeight="1">
      <c r="A993" s="12"/>
      <c r="B993" s="12"/>
      <c r="C993" s="12"/>
    </row>
    <row r="994" ht="15.75" customHeight="1">
      <c r="A994" s="12"/>
      <c r="B994" s="12"/>
      <c r="C994" s="12"/>
    </row>
    <row r="995" ht="15.75" customHeight="1">
      <c r="A995" s="12"/>
      <c r="B995" s="12"/>
      <c r="C995" s="12"/>
    </row>
    <row r="996" ht="15.75" customHeight="1">
      <c r="A996" s="12"/>
      <c r="B996" s="12"/>
      <c r="C996" s="12"/>
    </row>
    <row r="997" ht="15.75" customHeight="1">
      <c r="A997" s="12"/>
      <c r="B997" s="12"/>
      <c r="C997" s="12"/>
    </row>
    <row r="998" ht="15.75" customHeight="1">
      <c r="A998" s="12"/>
      <c r="B998" s="12"/>
      <c r="C998" s="12"/>
    </row>
    <row r="999" ht="15.75" customHeight="1">
      <c r="A999" s="12"/>
      <c r="B999" s="12"/>
      <c r="C999" s="12"/>
    </row>
    <row r="1000" ht="15.75" customHeight="1">
      <c r="A1000" s="12"/>
      <c r="B1000" s="12"/>
      <c r="C1000" s="12"/>
    </row>
    <row r="1001" ht="15.75" customHeight="1">
      <c r="A1001" s="12"/>
      <c r="B1001" s="12"/>
      <c r="C1001" s="12"/>
    </row>
    <row r="1002" ht="15.75" customHeight="1">
      <c r="A1002" s="12"/>
      <c r="B1002" s="12"/>
      <c r="C1002" s="12"/>
    </row>
  </sheetData>
  <mergeCells count="13">
    <mergeCell ref="S1:T1"/>
    <mergeCell ref="U1:V1"/>
    <mergeCell ref="W1:X1"/>
    <mergeCell ref="Y1:Z1"/>
    <mergeCell ref="A29:A31"/>
    <mergeCell ref="B29:B31"/>
    <mergeCell ref="A1:B1"/>
    <mergeCell ref="G1:H1"/>
    <mergeCell ref="I1:J1"/>
    <mergeCell ref="K1:L1"/>
    <mergeCell ref="M1:N1"/>
    <mergeCell ref="O1:P1"/>
    <mergeCell ref="Q1:R1"/>
  </mergeCells>
  <dataValidations>
    <dataValidation type="list" allowBlank="1" showErrorMessage="1" sqref="G2:G27">
      <formula1>Criteria!$D$2:$D$5</formula1>
    </dataValidation>
    <dataValidation type="list" allowBlank="1" showErrorMessage="1" sqref="K2:K27">
      <formula1>Criteria!$D$10:$D$13</formula1>
    </dataValidation>
    <dataValidation type="list" allowBlank="1" showErrorMessage="1" sqref="U2:U27">
      <formula1>Criteria!$D$34:$D$38</formula1>
    </dataValidation>
    <dataValidation type="list" allowBlank="1" showErrorMessage="1" sqref="AC2:AC27">
      <formula1>Criteria!$D$48:$D$53</formula1>
    </dataValidation>
    <dataValidation type="list" allowBlank="1" showErrorMessage="1" sqref="W2:W27">
      <formula1>Criteria!$D$39:$D$42</formula1>
    </dataValidation>
    <dataValidation type="list" allowBlank="1" showErrorMessage="1" sqref="Q2:Q27">
      <formula1>Criteria!$D$26:$D$29</formula1>
    </dataValidation>
    <dataValidation type="list" allowBlank="1" showErrorMessage="1" sqref="S2:S27">
      <formula1>Criteria!$D$30:$D$33</formula1>
    </dataValidation>
    <dataValidation type="list" allowBlank="1" showErrorMessage="1" sqref="Y2:Y27">
      <formula1>Criteria!$D$43:$D$44</formula1>
    </dataValidation>
    <dataValidation type="list" allowBlank="1" showErrorMessage="1" sqref="M2:M27">
      <formula1>Criteria!$D$14:$D$21</formula1>
    </dataValidation>
    <dataValidation type="list" allowBlank="1" showErrorMessage="1" sqref="O2:O27">
      <formula1>Criteria!$D$22:$D$25</formula1>
    </dataValidation>
    <dataValidation type="list" allowBlank="1" showErrorMessage="1" sqref="I2:I27">
      <formula1>Criteria!$D$6:$D$9</formula1>
    </dataValidation>
    <dataValidation type="list" allowBlank="1" showErrorMessage="1" sqref="AB2:AB27">
      <formula1>Criteria!$D$46:$D$47</formula1>
    </dataValidation>
  </dataValidation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75"/>
    <col customWidth="1" min="3" max="3" width="4.63"/>
    <col customWidth="1" min="4" max="4" width="51.63"/>
    <col customWidth="1" min="5" max="13" width="7.38"/>
    <col customWidth="1" min="14" max="20" width="9.63"/>
  </cols>
  <sheetData>
    <row r="1" ht="15.75" customHeight="1">
      <c r="A1" s="30" t="s">
        <v>64</v>
      </c>
      <c r="B1" s="31" t="s">
        <v>65</v>
      </c>
      <c r="C1" s="30"/>
      <c r="D1" s="30" t="s">
        <v>66</v>
      </c>
      <c r="E1" s="30" t="s">
        <v>67</v>
      </c>
      <c r="F1" s="32" t="s">
        <v>68</v>
      </c>
    </row>
    <row r="2" ht="15.75" customHeight="1">
      <c r="A2" s="33">
        <v>1.0</v>
      </c>
      <c r="B2" s="34" t="s">
        <v>69</v>
      </c>
      <c r="C2" s="35"/>
      <c r="D2" s="34" t="s">
        <v>70</v>
      </c>
      <c r="E2" s="36">
        <v>10.0</v>
      </c>
      <c r="F2" s="37">
        <v>10.0</v>
      </c>
    </row>
    <row r="3" ht="15.75" customHeight="1">
      <c r="A3" s="38"/>
      <c r="B3" s="39"/>
      <c r="C3" s="40"/>
      <c r="D3" s="39" t="s">
        <v>17</v>
      </c>
      <c r="E3" s="41">
        <v>5.0</v>
      </c>
      <c r="F3" s="28"/>
    </row>
    <row r="4" ht="15.75" customHeight="1">
      <c r="A4" s="38"/>
      <c r="B4" s="39"/>
      <c r="C4" s="40"/>
      <c r="D4" s="39" t="s">
        <v>71</v>
      </c>
      <c r="E4" s="41">
        <v>0.0</v>
      </c>
      <c r="F4" s="28"/>
    </row>
    <row r="5" ht="15.75" customHeight="1">
      <c r="A5" s="42"/>
      <c r="B5" s="43"/>
      <c r="C5" s="44"/>
      <c r="D5" s="43" t="s">
        <v>26</v>
      </c>
      <c r="E5" s="45" t="s">
        <v>26</v>
      </c>
      <c r="F5" s="29"/>
    </row>
    <row r="6" ht="15.75" customHeight="1">
      <c r="A6" s="46">
        <v>2.0</v>
      </c>
      <c r="B6" s="47" t="s">
        <v>72</v>
      </c>
      <c r="C6" s="48"/>
      <c r="D6" s="47" t="s">
        <v>73</v>
      </c>
      <c r="E6" s="49">
        <v>10.0</v>
      </c>
      <c r="F6" s="50">
        <v>10.0</v>
      </c>
    </row>
    <row r="7" ht="15.75" customHeight="1">
      <c r="A7" s="46"/>
      <c r="B7" s="47"/>
      <c r="C7" s="48"/>
      <c r="D7" s="47" t="s">
        <v>18</v>
      </c>
      <c r="E7" s="49">
        <v>5.0</v>
      </c>
      <c r="F7" s="28"/>
    </row>
    <row r="8" ht="15.75" customHeight="1">
      <c r="A8" s="46"/>
      <c r="B8" s="47"/>
      <c r="C8" s="48"/>
      <c r="D8" s="47" t="s">
        <v>74</v>
      </c>
      <c r="E8" s="49">
        <v>0.0</v>
      </c>
      <c r="F8" s="28"/>
    </row>
    <row r="9" ht="15.75" customHeight="1">
      <c r="A9" s="46"/>
      <c r="B9" s="47"/>
      <c r="C9" s="48"/>
      <c r="D9" s="47" t="s">
        <v>26</v>
      </c>
      <c r="E9" s="49" t="s">
        <v>26</v>
      </c>
      <c r="F9" s="28"/>
    </row>
    <row r="10" ht="15.75" customHeight="1">
      <c r="A10" s="33">
        <v>3.0</v>
      </c>
      <c r="B10" s="34" t="s">
        <v>75</v>
      </c>
      <c r="C10" s="35"/>
      <c r="D10" s="34" t="s">
        <v>19</v>
      </c>
      <c r="E10" s="36">
        <v>10.0</v>
      </c>
      <c r="F10" s="37">
        <v>10.0</v>
      </c>
    </row>
    <row r="11" ht="15.75" customHeight="1">
      <c r="A11" s="38"/>
      <c r="B11" s="39"/>
      <c r="C11" s="40"/>
      <c r="D11" s="39" t="s">
        <v>76</v>
      </c>
      <c r="E11" s="41">
        <v>5.0</v>
      </c>
      <c r="F11" s="28"/>
    </row>
    <row r="12" ht="15.75" customHeight="1">
      <c r="A12" s="38"/>
      <c r="B12" s="39"/>
      <c r="C12" s="40"/>
      <c r="D12" s="39" t="s">
        <v>30</v>
      </c>
      <c r="E12" s="41">
        <v>0.0</v>
      </c>
      <c r="F12" s="28"/>
    </row>
    <row r="13" ht="15.75" customHeight="1">
      <c r="A13" s="42"/>
      <c r="B13" s="43"/>
      <c r="C13" s="44"/>
      <c r="D13" s="43" t="s">
        <v>26</v>
      </c>
      <c r="E13" s="45" t="s">
        <v>26</v>
      </c>
      <c r="F13" s="29"/>
    </row>
    <row r="14" ht="15.75" customHeight="1">
      <c r="A14" s="46">
        <v>4.0</v>
      </c>
      <c r="B14" s="47" t="s">
        <v>77</v>
      </c>
      <c r="C14" s="48"/>
      <c r="D14" s="47" t="s">
        <v>20</v>
      </c>
      <c r="E14" s="49">
        <v>20.0</v>
      </c>
      <c r="F14" s="50">
        <v>20.0</v>
      </c>
    </row>
    <row r="15" ht="15.75" customHeight="1">
      <c r="A15" s="46"/>
      <c r="B15" s="47"/>
      <c r="C15" s="48"/>
      <c r="D15" s="47" t="s">
        <v>78</v>
      </c>
      <c r="E15" s="49">
        <v>15.0</v>
      </c>
      <c r="F15" s="28"/>
    </row>
    <row r="16" ht="15.75" customHeight="1">
      <c r="A16" s="46"/>
      <c r="B16" s="47"/>
      <c r="C16" s="48"/>
      <c r="D16" s="47" t="s">
        <v>79</v>
      </c>
      <c r="E16" s="49">
        <v>10.0</v>
      </c>
      <c r="F16" s="28"/>
    </row>
    <row r="17" ht="15.75" customHeight="1">
      <c r="A17" s="46"/>
      <c r="B17" s="47"/>
      <c r="C17" s="48"/>
      <c r="D17" s="47" t="s">
        <v>80</v>
      </c>
      <c r="E17" s="49">
        <v>5.0</v>
      </c>
      <c r="F17" s="28"/>
    </row>
    <row r="18" ht="15.75" customHeight="1">
      <c r="A18" s="46"/>
      <c r="B18" s="47"/>
      <c r="C18" s="48"/>
      <c r="D18" s="47" t="s">
        <v>31</v>
      </c>
      <c r="E18" s="49">
        <v>5.0</v>
      </c>
      <c r="F18" s="28"/>
    </row>
    <row r="19" ht="15.75" customHeight="1">
      <c r="A19" s="46"/>
      <c r="B19" s="47"/>
      <c r="C19" s="48"/>
      <c r="D19" s="47" t="s">
        <v>81</v>
      </c>
      <c r="E19" s="49">
        <v>5.0</v>
      </c>
      <c r="F19" s="28"/>
    </row>
    <row r="20" ht="15.75" customHeight="1">
      <c r="A20" s="46"/>
      <c r="B20" s="47"/>
      <c r="C20" s="48"/>
      <c r="D20" s="47" t="s">
        <v>82</v>
      </c>
      <c r="E20" s="49">
        <v>5.0</v>
      </c>
      <c r="F20" s="28"/>
    </row>
    <row r="21" ht="15.75" customHeight="1">
      <c r="A21" s="46"/>
      <c r="B21" s="47"/>
      <c r="C21" s="48"/>
      <c r="D21" s="47" t="s">
        <v>26</v>
      </c>
      <c r="E21" s="49" t="s">
        <v>26</v>
      </c>
      <c r="F21" s="28"/>
      <c r="L21" s="51"/>
    </row>
    <row r="22" ht="15.75" customHeight="1">
      <c r="A22" s="52">
        <v>5.0</v>
      </c>
      <c r="B22" s="53" t="s">
        <v>72</v>
      </c>
      <c r="C22" s="54">
        <v>0.0</v>
      </c>
      <c r="D22" s="53" t="s">
        <v>21</v>
      </c>
      <c r="E22" s="54">
        <v>10.0</v>
      </c>
      <c r="F22" s="55">
        <v>10.0</v>
      </c>
    </row>
    <row r="23" ht="15.75" customHeight="1">
      <c r="A23" s="56"/>
      <c r="B23" s="57"/>
      <c r="C23" s="58">
        <v>151.0</v>
      </c>
      <c r="D23" s="57" t="s">
        <v>83</v>
      </c>
      <c r="E23" s="58">
        <v>5.0</v>
      </c>
      <c r="F23" s="28"/>
    </row>
    <row r="24" ht="15.75" customHeight="1">
      <c r="A24" s="56"/>
      <c r="B24" s="57"/>
      <c r="C24" s="58">
        <v>300.0</v>
      </c>
      <c r="D24" s="57" t="s">
        <v>84</v>
      </c>
      <c r="E24" s="58">
        <v>0.0</v>
      </c>
      <c r="F24" s="28"/>
    </row>
    <row r="25" ht="15.75" customHeight="1">
      <c r="A25" s="59"/>
      <c r="B25" s="60"/>
      <c r="C25" s="61"/>
      <c r="D25" s="60" t="s">
        <v>26</v>
      </c>
      <c r="E25" s="62" t="s">
        <v>26</v>
      </c>
      <c r="F25" s="29"/>
    </row>
    <row r="26" ht="15.75" customHeight="1">
      <c r="A26" s="63">
        <v>6.0</v>
      </c>
      <c r="B26" s="64" t="s">
        <v>85</v>
      </c>
      <c r="C26" s="65"/>
      <c r="D26" s="64" t="s">
        <v>35</v>
      </c>
      <c r="E26" s="66">
        <v>10.0</v>
      </c>
      <c r="F26" s="67">
        <v>10.0</v>
      </c>
    </row>
    <row r="27" ht="15.75" customHeight="1">
      <c r="A27" s="46"/>
      <c r="B27" s="47"/>
      <c r="C27" s="48"/>
      <c r="D27" s="47" t="s">
        <v>22</v>
      </c>
      <c r="E27" s="49">
        <v>5.0</v>
      </c>
      <c r="F27" s="28"/>
    </row>
    <row r="28" ht="15.75" customHeight="1">
      <c r="A28" s="46"/>
      <c r="B28" s="47"/>
      <c r="C28" s="48"/>
      <c r="D28" s="47" t="s">
        <v>86</v>
      </c>
      <c r="E28" s="49">
        <v>0.0</v>
      </c>
      <c r="F28" s="28"/>
    </row>
    <row r="29" ht="15.75" customHeight="1">
      <c r="A29" s="68"/>
      <c r="B29" s="69"/>
      <c r="C29" s="70"/>
      <c r="D29" s="69" t="s">
        <v>26</v>
      </c>
      <c r="E29" s="71" t="s">
        <v>26</v>
      </c>
      <c r="F29" s="29"/>
    </row>
    <row r="30" ht="15.75" customHeight="1">
      <c r="A30" s="56">
        <v>7.0</v>
      </c>
      <c r="B30" s="57" t="s">
        <v>87</v>
      </c>
      <c r="C30" s="72"/>
      <c r="D30" s="57" t="s">
        <v>23</v>
      </c>
      <c r="E30" s="58">
        <v>5.0</v>
      </c>
      <c r="F30" s="73">
        <v>5.0</v>
      </c>
    </row>
    <row r="31" ht="15.75" customHeight="1">
      <c r="A31" s="56"/>
      <c r="B31" s="57"/>
      <c r="C31" s="72"/>
      <c r="D31" s="57" t="s">
        <v>32</v>
      </c>
      <c r="E31" s="58">
        <v>2.0</v>
      </c>
      <c r="F31" s="28"/>
    </row>
    <row r="32" ht="15.75" customHeight="1">
      <c r="A32" s="56"/>
      <c r="B32" s="57"/>
      <c r="C32" s="72"/>
      <c r="D32" s="57" t="s">
        <v>88</v>
      </c>
      <c r="E32" s="58">
        <v>0.0</v>
      </c>
      <c r="F32" s="28"/>
    </row>
    <row r="33" ht="15.75" customHeight="1">
      <c r="A33" s="56"/>
      <c r="B33" s="57"/>
      <c r="C33" s="72"/>
      <c r="D33" s="57" t="s">
        <v>26</v>
      </c>
      <c r="E33" s="58" t="s">
        <v>26</v>
      </c>
      <c r="F33" s="28"/>
    </row>
    <row r="34" ht="15.75" customHeight="1">
      <c r="A34" s="63">
        <v>8.0</v>
      </c>
      <c r="B34" s="64" t="s">
        <v>89</v>
      </c>
      <c r="C34" s="74">
        <v>3.0</v>
      </c>
      <c r="D34" s="64" t="s">
        <v>24</v>
      </c>
      <c r="E34" s="66">
        <v>5.0</v>
      </c>
      <c r="F34" s="67">
        <v>5.0</v>
      </c>
    </row>
    <row r="35" ht="15.75" customHeight="1">
      <c r="A35" s="46"/>
      <c r="B35" s="47"/>
      <c r="C35" s="75">
        <v>2.5</v>
      </c>
      <c r="D35" s="47" t="s">
        <v>37</v>
      </c>
      <c r="E35" s="49">
        <v>3.0</v>
      </c>
      <c r="F35" s="28"/>
    </row>
    <row r="36" ht="15.75" customHeight="1">
      <c r="A36" s="46"/>
      <c r="B36" s="47"/>
      <c r="C36" s="75">
        <v>2.0</v>
      </c>
      <c r="D36" s="47" t="s">
        <v>90</v>
      </c>
      <c r="E36" s="49">
        <v>1.0</v>
      </c>
      <c r="F36" s="28"/>
    </row>
    <row r="37" ht="15.75" customHeight="1">
      <c r="A37" s="46"/>
      <c r="B37" s="47"/>
      <c r="C37" s="75">
        <v>0.0</v>
      </c>
      <c r="D37" s="47" t="s">
        <v>91</v>
      </c>
      <c r="E37" s="49">
        <v>0.0</v>
      </c>
      <c r="F37" s="28"/>
    </row>
    <row r="38" ht="15.75" customHeight="1">
      <c r="A38" s="68"/>
      <c r="B38" s="69"/>
      <c r="C38" s="70"/>
      <c r="D38" s="69" t="s">
        <v>26</v>
      </c>
      <c r="E38" s="71" t="s">
        <v>26</v>
      </c>
      <c r="F38" s="29"/>
    </row>
    <row r="39" ht="15.75" customHeight="1">
      <c r="A39" s="52">
        <v>9.0</v>
      </c>
      <c r="B39" s="53" t="s">
        <v>92</v>
      </c>
      <c r="C39" s="76"/>
      <c r="D39" s="53" t="s">
        <v>25</v>
      </c>
      <c r="E39" s="54">
        <v>10.0</v>
      </c>
      <c r="F39" s="55">
        <v>10.0</v>
      </c>
    </row>
    <row r="40" ht="15.75" customHeight="1">
      <c r="A40" s="56"/>
      <c r="B40" s="57"/>
      <c r="C40" s="72"/>
      <c r="D40" s="57" t="s">
        <v>33</v>
      </c>
      <c r="E40" s="58">
        <v>5.0</v>
      </c>
      <c r="F40" s="28"/>
    </row>
    <row r="41" ht="15.75" customHeight="1">
      <c r="A41" s="56"/>
      <c r="B41" s="57"/>
      <c r="C41" s="72"/>
      <c r="D41" s="57" t="s">
        <v>38</v>
      </c>
      <c r="E41" s="58">
        <v>0.0</v>
      </c>
      <c r="F41" s="28"/>
    </row>
    <row r="42" ht="15.75" customHeight="1">
      <c r="A42" s="56"/>
      <c r="B42" s="57"/>
      <c r="C42" s="72"/>
      <c r="D42" s="57" t="s">
        <v>26</v>
      </c>
      <c r="E42" s="58" t="s">
        <v>26</v>
      </c>
      <c r="F42" s="29"/>
    </row>
    <row r="43">
      <c r="A43" s="33">
        <v>10.0</v>
      </c>
      <c r="B43" s="77" t="s">
        <v>12</v>
      </c>
      <c r="C43" s="77"/>
      <c r="D43" s="77" t="s">
        <v>93</v>
      </c>
      <c r="E43" s="78">
        <v>10.0</v>
      </c>
      <c r="F43" s="78">
        <v>10.0</v>
      </c>
    </row>
    <row r="44" ht="15.75" customHeight="1">
      <c r="A44" s="38"/>
      <c r="B44" s="79"/>
      <c r="C44" s="79"/>
      <c r="D44" s="79" t="s">
        <v>26</v>
      </c>
      <c r="E44" s="79" t="s">
        <v>26</v>
      </c>
      <c r="F44" s="80"/>
    </row>
    <row r="45" ht="15.75" customHeight="1">
      <c r="A45" s="38"/>
      <c r="B45" s="79"/>
      <c r="C45" s="79"/>
      <c r="D45" s="79"/>
      <c r="E45" s="79"/>
      <c r="F45" s="80"/>
    </row>
    <row r="46" ht="15.75" customHeight="1">
      <c r="A46" s="33">
        <v>10.0</v>
      </c>
      <c r="B46" s="77" t="s">
        <v>94</v>
      </c>
      <c r="C46" s="77"/>
      <c r="D46" s="77" t="s">
        <v>27</v>
      </c>
      <c r="E46" s="78"/>
      <c r="F46" s="77"/>
    </row>
    <row r="47" ht="15.75" customHeight="1">
      <c r="A47" s="38"/>
      <c r="B47" s="79"/>
      <c r="C47" s="79"/>
      <c r="D47" s="79" t="s">
        <v>26</v>
      </c>
      <c r="E47" s="79"/>
      <c r="F47" s="80"/>
    </row>
    <row r="48" ht="15.75" customHeight="1">
      <c r="A48" s="78">
        <v>11.0</v>
      </c>
      <c r="B48" s="77" t="s">
        <v>95</v>
      </c>
      <c r="C48" s="77"/>
      <c r="D48" s="34">
        <v>25000.0</v>
      </c>
      <c r="E48" s="78"/>
      <c r="F48" s="37"/>
    </row>
    <row r="49" ht="15.75" customHeight="1">
      <c r="A49" s="81"/>
      <c r="B49" s="79"/>
      <c r="C49" s="79"/>
      <c r="D49" s="39">
        <v>20000.0</v>
      </c>
      <c r="E49" s="81"/>
      <c r="F49" s="80"/>
    </row>
    <row r="50" ht="15.75" customHeight="1">
      <c r="A50" s="81"/>
      <c r="B50" s="79"/>
      <c r="C50" s="79"/>
      <c r="D50" s="39">
        <v>15000.0</v>
      </c>
      <c r="E50" s="81"/>
      <c r="F50" s="80"/>
    </row>
    <row r="51" ht="15.75" customHeight="1">
      <c r="A51" s="81"/>
      <c r="B51" s="79"/>
      <c r="C51" s="79"/>
      <c r="D51" s="39">
        <v>10000.0</v>
      </c>
      <c r="E51" s="81"/>
      <c r="F51" s="80"/>
    </row>
    <row r="52" ht="15.75" customHeight="1">
      <c r="A52" s="81"/>
      <c r="B52" s="79"/>
      <c r="C52" s="79"/>
      <c r="D52" s="39">
        <v>5000.0</v>
      </c>
      <c r="E52" s="81"/>
      <c r="F52" s="80"/>
    </row>
    <row r="53" ht="15.75" customHeight="1">
      <c r="A53" s="82"/>
      <c r="B53" s="83"/>
      <c r="C53" s="83"/>
      <c r="D53" s="43" t="s">
        <v>26</v>
      </c>
      <c r="E53" s="82"/>
      <c r="F53" s="84"/>
    </row>
    <row r="54" ht="15.75" customHeight="1">
      <c r="A54" s="41"/>
      <c r="E54" s="41"/>
      <c r="F54" s="85">
        <f>SUM(F2:F53)</f>
        <v>100</v>
      </c>
    </row>
    <row r="55" ht="15.75" customHeight="1">
      <c r="A55" s="41"/>
      <c r="E55" s="41"/>
      <c r="F55" s="85"/>
    </row>
    <row r="56" ht="15.75" customHeight="1">
      <c r="A56" s="41"/>
      <c r="E56" s="41"/>
      <c r="F56" s="85"/>
    </row>
    <row r="57" ht="15.75" customHeight="1">
      <c r="A57" s="41"/>
      <c r="E57" s="41"/>
      <c r="F57" s="85"/>
    </row>
    <row r="58" ht="15.75" customHeight="1">
      <c r="A58" s="41"/>
      <c r="E58" s="41"/>
      <c r="F58" s="85"/>
    </row>
    <row r="59" ht="15.75" customHeight="1">
      <c r="A59" s="41"/>
      <c r="E59" s="41"/>
      <c r="F59" s="85"/>
    </row>
    <row r="60" ht="15.75" customHeight="1">
      <c r="A60" s="41"/>
      <c r="E60" s="41"/>
      <c r="F60" s="85"/>
    </row>
    <row r="61" ht="15.75" customHeight="1">
      <c r="A61" s="41"/>
      <c r="E61" s="41"/>
      <c r="F61" s="85"/>
    </row>
    <row r="62" ht="15.75" customHeight="1">
      <c r="A62" s="41"/>
      <c r="E62" s="41"/>
      <c r="F62" s="85"/>
    </row>
    <row r="63" ht="15.75" customHeight="1">
      <c r="A63" s="41"/>
      <c r="E63" s="41"/>
      <c r="F63" s="85"/>
    </row>
    <row r="64" ht="15.75" customHeight="1">
      <c r="A64" s="41"/>
      <c r="E64" s="41"/>
      <c r="F64" s="85"/>
    </row>
    <row r="65" ht="15.75" customHeight="1">
      <c r="A65" s="41"/>
      <c r="E65" s="41"/>
      <c r="F65" s="85"/>
    </row>
    <row r="66" ht="15.75" customHeight="1">
      <c r="A66" s="41"/>
      <c r="E66" s="41"/>
      <c r="F66" s="85"/>
    </row>
    <row r="67" ht="15.75" customHeight="1">
      <c r="A67" s="41"/>
      <c r="C67" s="41"/>
      <c r="D67" s="41"/>
      <c r="E67" s="41"/>
      <c r="F67" s="85"/>
    </row>
    <row r="68" ht="15.75" customHeight="1">
      <c r="A68" s="41"/>
      <c r="C68" s="41"/>
      <c r="D68" s="41"/>
      <c r="E68" s="41"/>
      <c r="F68" s="85"/>
    </row>
    <row r="69" ht="15.75" customHeight="1">
      <c r="A69" s="41"/>
      <c r="C69" s="41"/>
      <c r="D69" s="41"/>
      <c r="E69" s="41"/>
      <c r="F69" s="85"/>
    </row>
    <row r="70" ht="15.75" customHeight="1">
      <c r="A70" s="41"/>
      <c r="C70" s="41"/>
      <c r="D70" s="41"/>
      <c r="E70" s="41"/>
      <c r="F70" s="85"/>
    </row>
    <row r="71" ht="15.75" customHeight="1">
      <c r="A71" s="41"/>
      <c r="C71" s="41"/>
      <c r="D71" s="41"/>
      <c r="E71" s="41"/>
      <c r="F71" s="85"/>
    </row>
    <row r="72" ht="15.75" customHeight="1">
      <c r="A72" s="41"/>
      <c r="C72" s="41"/>
      <c r="D72" s="41"/>
      <c r="E72" s="41"/>
      <c r="F72" s="85"/>
    </row>
    <row r="73" ht="15.75" customHeight="1">
      <c r="A73" s="41"/>
      <c r="C73" s="41"/>
      <c r="D73" s="41"/>
      <c r="E73" s="41"/>
      <c r="F73" s="85"/>
    </row>
    <row r="74" ht="15.75" customHeight="1">
      <c r="A74" s="41"/>
      <c r="C74" s="41"/>
      <c r="D74" s="41"/>
      <c r="E74" s="41"/>
      <c r="F74" s="85"/>
    </row>
    <row r="75" ht="15.75" customHeight="1">
      <c r="A75" s="41"/>
      <c r="C75" s="41"/>
      <c r="D75" s="41"/>
      <c r="E75" s="41"/>
      <c r="F75" s="85"/>
    </row>
    <row r="76" ht="15.75" customHeight="1">
      <c r="A76" s="41"/>
      <c r="C76" s="41"/>
      <c r="D76" s="41"/>
      <c r="E76" s="41"/>
      <c r="F76" s="85"/>
    </row>
    <row r="77" ht="15.75" customHeight="1">
      <c r="A77" s="41"/>
      <c r="C77" s="41"/>
      <c r="D77" s="41"/>
      <c r="E77" s="41"/>
      <c r="F77" s="85"/>
    </row>
    <row r="78" ht="15.75" customHeight="1">
      <c r="A78" s="41"/>
      <c r="C78" s="41"/>
      <c r="D78" s="41"/>
      <c r="E78" s="41"/>
      <c r="F78" s="85"/>
    </row>
    <row r="79" ht="15.75" customHeight="1">
      <c r="A79" s="41"/>
      <c r="C79" s="41"/>
      <c r="D79" s="41"/>
      <c r="E79" s="41"/>
      <c r="F79" s="85"/>
    </row>
    <row r="80" ht="15.75" customHeight="1">
      <c r="A80" s="41"/>
      <c r="C80" s="41"/>
      <c r="D80" s="41"/>
      <c r="E80" s="41"/>
      <c r="F80" s="85"/>
    </row>
    <row r="81" ht="15.75" customHeight="1">
      <c r="A81" s="41"/>
      <c r="C81" s="41"/>
      <c r="D81" s="41"/>
      <c r="E81" s="41"/>
      <c r="F81" s="85"/>
    </row>
    <row r="82" ht="15.75" customHeight="1">
      <c r="A82" s="41"/>
      <c r="C82" s="41"/>
      <c r="D82" s="41"/>
      <c r="E82" s="41"/>
      <c r="F82" s="85"/>
    </row>
    <row r="83" ht="15.75" customHeight="1">
      <c r="A83" s="41"/>
      <c r="C83" s="41"/>
      <c r="D83" s="41"/>
      <c r="E83" s="41"/>
      <c r="F83" s="85"/>
    </row>
    <row r="84" ht="15.75" customHeight="1">
      <c r="A84" s="41"/>
      <c r="C84" s="41"/>
      <c r="D84" s="41"/>
      <c r="E84" s="41"/>
      <c r="F84" s="85"/>
    </row>
    <row r="85" ht="15.75" customHeight="1">
      <c r="A85" s="41"/>
      <c r="C85" s="41"/>
      <c r="D85" s="41"/>
      <c r="E85" s="41"/>
      <c r="F85" s="85"/>
    </row>
    <row r="86" ht="15.75" customHeight="1">
      <c r="A86" s="41"/>
      <c r="C86" s="41"/>
      <c r="D86" s="41"/>
      <c r="E86" s="41"/>
      <c r="F86" s="85"/>
    </row>
    <row r="87" ht="15.75" customHeight="1">
      <c r="A87" s="41"/>
      <c r="C87" s="41"/>
      <c r="D87" s="41"/>
      <c r="E87" s="41"/>
      <c r="F87" s="85"/>
    </row>
    <row r="88" ht="15.75" customHeight="1">
      <c r="A88" s="41"/>
      <c r="C88" s="41"/>
      <c r="D88" s="41"/>
      <c r="E88" s="41"/>
      <c r="F88" s="85"/>
    </row>
    <row r="89" ht="15.75" customHeight="1">
      <c r="A89" s="41"/>
      <c r="C89" s="41"/>
      <c r="D89" s="41"/>
      <c r="E89" s="41"/>
      <c r="F89" s="85"/>
    </row>
    <row r="90" ht="15.75" customHeight="1">
      <c r="A90" s="41"/>
      <c r="C90" s="41"/>
      <c r="D90" s="41"/>
      <c r="E90" s="41"/>
      <c r="F90" s="85"/>
    </row>
    <row r="91" ht="15.75" customHeight="1">
      <c r="A91" s="41"/>
      <c r="C91" s="41"/>
      <c r="D91" s="41"/>
      <c r="E91" s="41"/>
      <c r="F91" s="85"/>
    </row>
    <row r="92" ht="15.75" customHeight="1">
      <c r="A92" s="41"/>
      <c r="C92" s="41"/>
      <c r="D92" s="41"/>
      <c r="E92" s="41"/>
      <c r="F92" s="85"/>
    </row>
    <row r="93" ht="15.75" customHeight="1">
      <c r="A93" s="41"/>
      <c r="C93" s="41"/>
      <c r="D93" s="41"/>
      <c r="E93" s="41"/>
      <c r="F93" s="85"/>
    </row>
    <row r="94" ht="15.75" customHeight="1">
      <c r="A94" s="41"/>
      <c r="C94" s="41"/>
      <c r="D94" s="41"/>
      <c r="E94" s="41"/>
      <c r="F94" s="85"/>
    </row>
    <row r="95" ht="15.75" customHeight="1">
      <c r="A95" s="41"/>
      <c r="C95" s="41"/>
      <c r="D95" s="41"/>
      <c r="E95" s="41"/>
      <c r="F95" s="85"/>
    </row>
    <row r="96" ht="15.75" customHeight="1">
      <c r="A96" s="41"/>
      <c r="C96" s="41"/>
      <c r="D96" s="41"/>
      <c r="E96" s="41"/>
      <c r="F96" s="85"/>
    </row>
    <row r="97" ht="15.75" customHeight="1">
      <c r="A97" s="41"/>
      <c r="C97" s="41"/>
      <c r="D97" s="41"/>
      <c r="E97" s="41"/>
      <c r="F97" s="85"/>
    </row>
    <row r="98" ht="15.75" customHeight="1">
      <c r="A98" s="41"/>
      <c r="C98" s="41"/>
      <c r="D98" s="41"/>
      <c r="E98" s="41"/>
      <c r="F98" s="85"/>
    </row>
    <row r="99" ht="15.75" customHeight="1">
      <c r="A99" s="41"/>
      <c r="C99" s="41"/>
      <c r="D99" s="41"/>
      <c r="E99" s="41"/>
      <c r="F99" s="85"/>
    </row>
    <row r="100" ht="15.75" customHeight="1">
      <c r="A100" s="41"/>
      <c r="C100" s="41"/>
      <c r="D100" s="41"/>
      <c r="E100" s="41"/>
      <c r="F100" s="85"/>
    </row>
    <row r="101" ht="15.75" customHeight="1">
      <c r="A101" s="41"/>
      <c r="C101" s="41"/>
      <c r="D101" s="41"/>
      <c r="E101" s="41"/>
      <c r="F101" s="85"/>
    </row>
    <row r="102" ht="15.75" customHeight="1">
      <c r="A102" s="41"/>
      <c r="C102" s="41"/>
      <c r="D102" s="41"/>
      <c r="E102" s="41"/>
      <c r="F102" s="85"/>
    </row>
    <row r="103" ht="15.75" customHeight="1">
      <c r="A103" s="41"/>
      <c r="C103" s="41"/>
      <c r="D103" s="41"/>
      <c r="E103" s="41"/>
      <c r="F103" s="85"/>
    </row>
    <row r="104" ht="15.75" customHeight="1">
      <c r="A104" s="41"/>
      <c r="C104" s="41"/>
      <c r="D104" s="41"/>
      <c r="E104" s="41"/>
      <c r="F104" s="85"/>
    </row>
    <row r="105" ht="15.75" customHeight="1">
      <c r="A105" s="41"/>
      <c r="C105" s="41"/>
      <c r="D105" s="41"/>
      <c r="E105" s="41"/>
      <c r="F105" s="85"/>
    </row>
    <row r="106" ht="15.75" customHeight="1">
      <c r="A106" s="41"/>
      <c r="C106" s="41"/>
      <c r="D106" s="41"/>
      <c r="E106" s="41"/>
      <c r="F106" s="85"/>
    </row>
    <row r="107" ht="15.75" customHeight="1">
      <c r="A107" s="41"/>
      <c r="C107" s="41"/>
      <c r="D107" s="41"/>
      <c r="E107" s="41"/>
      <c r="F107" s="85"/>
    </row>
    <row r="108" ht="15.75" customHeight="1">
      <c r="A108" s="41"/>
      <c r="C108" s="41"/>
      <c r="D108" s="41"/>
      <c r="E108" s="41"/>
      <c r="F108" s="85"/>
    </row>
    <row r="109" ht="15.75" customHeight="1">
      <c r="A109" s="41"/>
      <c r="C109" s="41"/>
      <c r="D109" s="41"/>
      <c r="E109" s="41"/>
      <c r="F109" s="85"/>
    </row>
    <row r="110" ht="15.75" customHeight="1">
      <c r="A110" s="41"/>
      <c r="C110" s="41"/>
      <c r="D110" s="41"/>
      <c r="E110" s="41"/>
      <c r="F110" s="85"/>
    </row>
    <row r="111" ht="15.75" customHeight="1">
      <c r="A111" s="41"/>
      <c r="C111" s="41"/>
      <c r="D111" s="41"/>
      <c r="E111" s="41"/>
      <c r="F111" s="85"/>
    </row>
    <row r="112" ht="15.75" customHeight="1">
      <c r="A112" s="41"/>
      <c r="C112" s="41"/>
      <c r="D112" s="41"/>
      <c r="E112" s="41"/>
      <c r="F112" s="85"/>
    </row>
    <row r="113" ht="15.75" customHeight="1">
      <c r="A113" s="41"/>
      <c r="C113" s="41"/>
      <c r="D113" s="41"/>
      <c r="E113" s="41"/>
      <c r="F113" s="85"/>
    </row>
    <row r="114" ht="15.75" customHeight="1">
      <c r="A114" s="41"/>
      <c r="C114" s="41"/>
      <c r="D114" s="41"/>
      <c r="E114" s="41"/>
      <c r="F114" s="85"/>
    </row>
    <row r="115" ht="15.75" customHeight="1">
      <c r="A115" s="41"/>
      <c r="C115" s="41"/>
      <c r="D115" s="41"/>
      <c r="E115" s="41"/>
      <c r="F115" s="85"/>
    </row>
    <row r="116" ht="15.75" customHeight="1">
      <c r="A116" s="41"/>
      <c r="C116" s="41"/>
      <c r="D116" s="41"/>
      <c r="E116" s="41"/>
      <c r="F116" s="85"/>
    </row>
    <row r="117" ht="15.75" customHeight="1">
      <c r="A117" s="41"/>
      <c r="C117" s="41"/>
      <c r="D117" s="41"/>
      <c r="E117" s="41"/>
      <c r="F117" s="85"/>
    </row>
    <row r="118" ht="15.75" customHeight="1">
      <c r="A118" s="41"/>
      <c r="C118" s="41"/>
      <c r="D118" s="41"/>
      <c r="E118" s="41"/>
      <c r="F118" s="85"/>
    </row>
    <row r="119" ht="15.75" customHeight="1">
      <c r="A119" s="41"/>
      <c r="C119" s="41"/>
      <c r="D119" s="41"/>
      <c r="E119" s="41"/>
      <c r="F119" s="85"/>
    </row>
    <row r="120" ht="15.75" customHeight="1">
      <c r="A120" s="41"/>
      <c r="C120" s="41"/>
      <c r="D120" s="41"/>
      <c r="E120" s="41"/>
      <c r="F120" s="85"/>
    </row>
    <row r="121" ht="15.75" customHeight="1">
      <c r="A121" s="41"/>
      <c r="C121" s="41"/>
      <c r="D121" s="41"/>
      <c r="E121" s="41"/>
      <c r="F121" s="85"/>
    </row>
    <row r="122" ht="15.75" customHeight="1">
      <c r="A122" s="41"/>
      <c r="C122" s="41"/>
      <c r="D122" s="41"/>
      <c r="E122" s="41"/>
      <c r="F122" s="85"/>
    </row>
    <row r="123" ht="15.75" customHeight="1">
      <c r="A123" s="41"/>
      <c r="C123" s="41"/>
      <c r="D123" s="41"/>
      <c r="E123" s="41"/>
      <c r="F123" s="85"/>
    </row>
    <row r="124" ht="15.75" customHeight="1">
      <c r="A124" s="41"/>
      <c r="C124" s="41"/>
      <c r="D124" s="41"/>
      <c r="E124" s="41"/>
      <c r="F124" s="85"/>
    </row>
    <row r="125" ht="15.75" customHeight="1">
      <c r="A125" s="41"/>
      <c r="C125" s="41"/>
      <c r="D125" s="41"/>
      <c r="E125" s="41"/>
      <c r="F125" s="85"/>
    </row>
    <row r="126" ht="15.75" customHeight="1">
      <c r="A126" s="41"/>
      <c r="C126" s="41"/>
      <c r="D126" s="41"/>
      <c r="E126" s="41"/>
      <c r="F126" s="85"/>
    </row>
    <row r="127" ht="15.75" customHeight="1">
      <c r="A127" s="41"/>
      <c r="C127" s="41"/>
      <c r="D127" s="41"/>
      <c r="E127" s="41"/>
      <c r="F127" s="85"/>
    </row>
    <row r="128" ht="15.75" customHeight="1">
      <c r="A128" s="41"/>
      <c r="C128" s="41"/>
      <c r="D128" s="41"/>
      <c r="E128" s="41"/>
      <c r="F128" s="85"/>
    </row>
    <row r="129" ht="15.75" customHeight="1">
      <c r="A129" s="41"/>
      <c r="C129" s="41"/>
      <c r="D129" s="41"/>
      <c r="E129" s="41"/>
      <c r="F129" s="85"/>
    </row>
    <row r="130" ht="15.75" customHeight="1">
      <c r="A130" s="41"/>
      <c r="C130" s="41"/>
      <c r="D130" s="41"/>
      <c r="E130" s="41"/>
      <c r="F130" s="85"/>
    </row>
    <row r="131" ht="15.75" customHeight="1">
      <c r="A131" s="41"/>
      <c r="C131" s="41"/>
      <c r="D131" s="41"/>
      <c r="E131" s="41"/>
      <c r="F131" s="85"/>
    </row>
    <row r="132" ht="15.75" customHeight="1">
      <c r="A132" s="41"/>
      <c r="C132" s="41"/>
      <c r="D132" s="41"/>
      <c r="E132" s="41"/>
      <c r="F132" s="85"/>
    </row>
    <row r="133" ht="15.75" customHeight="1">
      <c r="A133" s="41"/>
      <c r="C133" s="41"/>
      <c r="D133" s="41"/>
      <c r="E133" s="41"/>
      <c r="F133" s="85"/>
    </row>
    <row r="134" ht="15.75" customHeight="1">
      <c r="A134" s="41"/>
      <c r="C134" s="41"/>
      <c r="D134" s="41"/>
      <c r="E134" s="41"/>
      <c r="F134" s="85"/>
    </row>
    <row r="135" ht="15.75" customHeight="1">
      <c r="A135" s="41"/>
      <c r="C135" s="41"/>
      <c r="D135" s="41"/>
      <c r="E135" s="41"/>
      <c r="F135" s="85"/>
    </row>
    <row r="136" ht="15.75" customHeight="1">
      <c r="A136" s="41"/>
      <c r="C136" s="41"/>
      <c r="D136" s="41"/>
      <c r="E136" s="41"/>
      <c r="F136" s="85"/>
    </row>
    <row r="137" ht="15.75" customHeight="1">
      <c r="A137" s="41"/>
      <c r="C137" s="41"/>
      <c r="D137" s="41"/>
      <c r="E137" s="41"/>
      <c r="F137" s="85"/>
    </row>
    <row r="138" ht="15.75" customHeight="1">
      <c r="A138" s="41"/>
      <c r="C138" s="41"/>
      <c r="D138" s="41"/>
      <c r="E138" s="41"/>
      <c r="F138" s="85"/>
    </row>
    <row r="139" ht="15.75" customHeight="1">
      <c r="A139" s="41"/>
      <c r="C139" s="41"/>
      <c r="D139" s="41"/>
      <c r="E139" s="41"/>
      <c r="F139" s="85"/>
    </row>
    <row r="140" ht="15.75" customHeight="1">
      <c r="A140" s="41"/>
      <c r="C140" s="41"/>
      <c r="D140" s="41"/>
      <c r="E140" s="41"/>
      <c r="F140" s="85"/>
    </row>
    <row r="141" ht="15.75" customHeight="1">
      <c r="A141" s="41"/>
      <c r="C141" s="41"/>
      <c r="D141" s="41"/>
      <c r="E141" s="41"/>
      <c r="F141" s="85"/>
    </row>
    <row r="142" ht="15.75" customHeight="1">
      <c r="A142" s="41"/>
      <c r="C142" s="41"/>
      <c r="D142" s="41"/>
      <c r="E142" s="41"/>
      <c r="F142" s="85"/>
    </row>
    <row r="143" ht="15.75" customHeight="1">
      <c r="A143" s="41"/>
      <c r="C143" s="41"/>
      <c r="D143" s="41"/>
      <c r="E143" s="41"/>
      <c r="F143" s="85"/>
    </row>
    <row r="144" ht="15.75" customHeight="1">
      <c r="A144" s="41"/>
      <c r="C144" s="41"/>
      <c r="D144" s="41"/>
      <c r="E144" s="41"/>
      <c r="F144" s="85"/>
    </row>
    <row r="145" ht="15.75" customHeight="1">
      <c r="A145" s="41"/>
      <c r="C145" s="41"/>
      <c r="D145" s="41"/>
      <c r="E145" s="41"/>
      <c r="F145" s="85"/>
    </row>
    <row r="146" ht="15.75" customHeight="1">
      <c r="A146" s="41"/>
      <c r="C146" s="41"/>
      <c r="D146" s="41"/>
      <c r="E146" s="41"/>
      <c r="F146" s="85"/>
    </row>
    <row r="147" ht="15.75" customHeight="1">
      <c r="A147" s="41"/>
      <c r="C147" s="41"/>
      <c r="D147" s="41"/>
      <c r="E147" s="41"/>
      <c r="F147" s="85"/>
    </row>
    <row r="148" ht="15.75" customHeight="1">
      <c r="A148" s="41"/>
      <c r="C148" s="41"/>
      <c r="D148" s="41"/>
      <c r="E148" s="41"/>
      <c r="F148" s="85"/>
    </row>
    <row r="149" ht="15.75" customHeight="1">
      <c r="A149" s="41"/>
      <c r="C149" s="41"/>
      <c r="D149" s="41"/>
      <c r="E149" s="41"/>
      <c r="F149" s="85"/>
    </row>
    <row r="150" ht="15.75" customHeight="1">
      <c r="A150" s="41"/>
      <c r="C150" s="41"/>
      <c r="D150" s="41"/>
      <c r="E150" s="41"/>
      <c r="F150" s="85"/>
    </row>
    <row r="151" ht="15.75" customHeight="1">
      <c r="A151" s="41"/>
      <c r="C151" s="41"/>
      <c r="D151" s="41"/>
      <c r="E151" s="41"/>
      <c r="F151" s="85"/>
    </row>
    <row r="152" ht="15.75" customHeight="1">
      <c r="A152" s="41"/>
      <c r="C152" s="41"/>
      <c r="D152" s="41"/>
      <c r="E152" s="41"/>
      <c r="F152" s="85"/>
    </row>
    <row r="153" ht="15.75" customHeight="1">
      <c r="A153" s="41"/>
      <c r="C153" s="41"/>
      <c r="D153" s="41"/>
      <c r="E153" s="41"/>
      <c r="F153" s="85"/>
    </row>
    <row r="154" ht="15.75" customHeight="1">
      <c r="A154" s="41"/>
      <c r="C154" s="41"/>
      <c r="D154" s="41"/>
      <c r="E154" s="41"/>
      <c r="F154" s="85"/>
    </row>
    <row r="155" ht="15.75" customHeight="1">
      <c r="A155" s="41"/>
      <c r="C155" s="41"/>
      <c r="D155" s="41"/>
      <c r="E155" s="41"/>
      <c r="F155" s="85"/>
    </row>
    <row r="156" ht="15.75" customHeight="1">
      <c r="A156" s="41"/>
      <c r="C156" s="41"/>
      <c r="D156" s="41"/>
      <c r="E156" s="41"/>
      <c r="F156" s="85"/>
    </row>
    <row r="157" ht="15.75" customHeight="1">
      <c r="A157" s="41"/>
      <c r="C157" s="41"/>
      <c r="D157" s="41"/>
      <c r="E157" s="41"/>
      <c r="F157" s="85"/>
    </row>
    <row r="158" ht="15.75" customHeight="1">
      <c r="A158" s="41"/>
      <c r="C158" s="41"/>
      <c r="D158" s="41"/>
      <c r="E158" s="41"/>
      <c r="F158" s="85"/>
    </row>
    <row r="159" ht="15.75" customHeight="1">
      <c r="A159" s="41"/>
      <c r="C159" s="41"/>
      <c r="D159" s="41"/>
      <c r="E159" s="41"/>
      <c r="F159" s="85"/>
    </row>
    <row r="160" ht="15.75" customHeight="1">
      <c r="A160" s="41"/>
      <c r="C160" s="41"/>
      <c r="D160" s="41"/>
      <c r="E160" s="41"/>
      <c r="F160" s="85"/>
    </row>
    <row r="161" ht="15.75" customHeight="1">
      <c r="A161" s="41"/>
      <c r="C161" s="41"/>
      <c r="D161" s="41"/>
      <c r="E161" s="41"/>
      <c r="F161" s="85"/>
    </row>
    <row r="162" ht="15.75" customHeight="1">
      <c r="A162" s="41"/>
      <c r="C162" s="41"/>
      <c r="D162" s="41"/>
      <c r="E162" s="41"/>
      <c r="F162" s="85"/>
    </row>
    <row r="163" ht="15.75" customHeight="1">
      <c r="A163" s="41"/>
      <c r="C163" s="41"/>
      <c r="D163" s="41"/>
      <c r="E163" s="41"/>
      <c r="F163" s="85"/>
    </row>
    <row r="164" ht="15.75" customHeight="1">
      <c r="A164" s="41"/>
      <c r="C164" s="41"/>
      <c r="D164" s="41"/>
      <c r="E164" s="41"/>
      <c r="F164" s="85"/>
    </row>
    <row r="165" ht="15.75" customHeight="1">
      <c r="A165" s="41"/>
      <c r="C165" s="41"/>
      <c r="D165" s="41"/>
      <c r="E165" s="41"/>
      <c r="F165" s="85"/>
    </row>
    <row r="166" ht="15.75" customHeight="1">
      <c r="A166" s="41"/>
      <c r="C166" s="41"/>
      <c r="D166" s="41"/>
      <c r="E166" s="41"/>
      <c r="F166" s="85"/>
    </row>
    <row r="167" ht="15.75" customHeight="1">
      <c r="A167" s="41"/>
      <c r="C167" s="41"/>
      <c r="D167" s="41"/>
      <c r="E167" s="41"/>
      <c r="F167" s="85"/>
    </row>
    <row r="168" ht="15.75" customHeight="1">
      <c r="A168" s="41"/>
      <c r="C168" s="41"/>
      <c r="D168" s="41"/>
      <c r="E168" s="41"/>
      <c r="F168" s="85"/>
    </row>
    <row r="169" ht="15.75" customHeight="1">
      <c r="A169" s="41"/>
      <c r="C169" s="41"/>
      <c r="D169" s="41"/>
      <c r="E169" s="41"/>
      <c r="F169" s="85"/>
    </row>
    <row r="170" ht="15.75" customHeight="1">
      <c r="A170" s="41"/>
      <c r="C170" s="41"/>
      <c r="D170" s="41"/>
      <c r="E170" s="41"/>
      <c r="F170" s="85"/>
    </row>
    <row r="171" ht="15.75" customHeight="1">
      <c r="A171" s="41"/>
      <c r="C171" s="41"/>
      <c r="D171" s="41"/>
      <c r="E171" s="41"/>
      <c r="F171" s="85"/>
    </row>
    <row r="172" ht="15.75" customHeight="1">
      <c r="A172" s="41"/>
      <c r="C172" s="41"/>
      <c r="D172" s="41"/>
      <c r="E172" s="41"/>
      <c r="F172" s="85"/>
    </row>
    <row r="173" ht="15.75" customHeight="1">
      <c r="A173" s="41"/>
      <c r="C173" s="41"/>
      <c r="D173" s="41"/>
      <c r="E173" s="41"/>
      <c r="F173" s="85"/>
    </row>
    <row r="174" ht="15.75" customHeight="1">
      <c r="A174" s="41"/>
      <c r="C174" s="41"/>
      <c r="D174" s="41"/>
      <c r="E174" s="41"/>
      <c r="F174" s="85"/>
    </row>
    <row r="175" ht="15.75" customHeight="1">
      <c r="A175" s="41"/>
      <c r="C175" s="41"/>
      <c r="D175" s="41"/>
      <c r="E175" s="41"/>
      <c r="F175" s="85"/>
    </row>
    <row r="176" ht="15.75" customHeight="1">
      <c r="A176" s="41"/>
      <c r="C176" s="41"/>
      <c r="D176" s="41"/>
      <c r="E176" s="41"/>
      <c r="F176" s="85"/>
    </row>
    <row r="177" ht="15.75" customHeight="1">
      <c r="A177" s="41"/>
      <c r="C177" s="41"/>
      <c r="D177" s="41"/>
      <c r="E177" s="41"/>
      <c r="F177" s="85"/>
    </row>
    <row r="178" ht="15.75" customHeight="1">
      <c r="A178" s="41"/>
      <c r="C178" s="41"/>
      <c r="D178" s="41"/>
      <c r="E178" s="41"/>
      <c r="F178" s="85"/>
    </row>
    <row r="179" ht="15.75" customHeight="1">
      <c r="A179" s="41"/>
      <c r="C179" s="41"/>
      <c r="D179" s="41"/>
      <c r="E179" s="41"/>
      <c r="F179" s="85"/>
    </row>
    <row r="180" ht="15.75" customHeight="1">
      <c r="A180" s="41"/>
      <c r="C180" s="41"/>
      <c r="D180" s="41"/>
      <c r="E180" s="41"/>
      <c r="F180" s="85"/>
    </row>
    <row r="181" ht="15.75" customHeight="1">
      <c r="A181" s="41"/>
      <c r="C181" s="41"/>
      <c r="D181" s="41"/>
      <c r="E181" s="41"/>
      <c r="F181" s="85"/>
    </row>
    <row r="182" ht="15.75" customHeight="1">
      <c r="A182" s="41"/>
      <c r="C182" s="41"/>
      <c r="D182" s="41"/>
      <c r="E182" s="41"/>
      <c r="F182" s="85"/>
    </row>
    <row r="183" ht="15.75" customHeight="1">
      <c r="A183" s="41"/>
      <c r="C183" s="41"/>
      <c r="D183" s="41"/>
      <c r="E183" s="41"/>
      <c r="F183" s="85"/>
    </row>
    <row r="184" ht="15.75" customHeight="1">
      <c r="A184" s="41"/>
      <c r="C184" s="41"/>
      <c r="D184" s="41"/>
      <c r="E184" s="41"/>
      <c r="F184" s="85"/>
    </row>
    <row r="185" ht="15.75" customHeight="1">
      <c r="A185" s="41"/>
      <c r="C185" s="41"/>
      <c r="D185" s="41"/>
      <c r="E185" s="41"/>
      <c r="F185" s="85"/>
    </row>
    <row r="186" ht="15.75" customHeight="1">
      <c r="A186" s="41"/>
      <c r="C186" s="41"/>
      <c r="D186" s="41"/>
      <c r="E186" s="41"/>
      <c r="F186" s="85"/>
    </row>
    <row r="187" ht="15.75" customHeight="1">
      <c r="A187" s="41"/>
      <c r="C187" s="41"/>
      <c r="D187" s="41"/>
      <c r="E187" s="41"/>
      <c r="F187" s="85"/>
    </row>
    <row r="188" ht="15.75" customHeight="1">
      <c r="A188" s="41"/>
      <c r="C188" s="41"/>
      <c r="D188" s="41"/>
      <c r="E188" s="41"/>
      <c r="F188" s="85"/>
    </row>
    <row r="189" ht="15.75" customHeight="1">
      <c r="A189" s="41"/>
      <c r="C189" s="41"/>
      <c r="D189" s="41"/>
      <c r="E189" s="41"/>
      <c r="F189" s="85"/>
    </row>
    <row r="190" ht="15.75" customHeight="1">
      <c r="A190" s="41"/>
      <c r="C190" s="41"/>
      <c r="D190" s="41"/>
      <c r="E190" s="41"/>
      <c r="F190" s="85"/>
    </row>
    <row r="191" ht="15.75" customHeight="1">
      <c r="A191" s="41"/>
      <c r="C191" s="41"/>
      <c r="D191" s="41"/>
      <c r="E191" s="41"/>
      <c r="F191" s="85"/>
    </row>
    <row r="192" ht="15.75" customHeight="1">
      <c r="A192" s="41"/>
      <c r="C192" s="41"/>
      <c r="D192" s="41"/>
      <c r="E192" s="41"/>
      <c r="F192" s="85"/>
    </row>
    <row r="193" ht="15.75" customHeight="1">
      <c r="A193" s="41"/>
      <c r="C193" s="41"/>
      <c r="D193" s="41"/>
      <c r="E193" s="41"/>
      <c r="F193" s="85"/>
    </row>
    <row r="194" ht="15.75" customHeight="1">
      <c r="A194" s="41"/>
      <c r="C194" s="41"/>
      <c r="D194" s="41"/>
      <c r="E194" s="41"/>
      <c r="F194" s="85"/>
    </row>
    <row r="195" ht="15.75" customHeight="1">
      <c r="A195" s="41"/>
      <c r="C195" s="41"/>
      <c r="D195" s="41"/>
      <c r="E195" s="41"/>
      <c r="F195" s="85"/>
    </row>
    <row r="196" ht="15.75" customHeight="1">
      <c r="A196" s="41"/>
      <c r="C196" s="41"/>
      <c r="D196" s="41"/>
      <c r="E196" s="41"/>
      <c r="F196" s="85"/>
    </row>
    <row r="197" ht="15.75" customHeight="1">
      <c r="A197" s="41"/>
      <c r="C197" s="41"/>
      <c r="D197" s="41"/>
      <c r="E197" s="41"/>
      <c r="F197" s="85"/>
    </row>
    <row r="198" ht="15.75" customHeight="1">
      <c r="A198" s="41"/>
      <c r="C198" s="41"/>
      <c r="D198" s="41"/>
      <c r="E198" s="41"/>
      <c r="F198" s="85"/>
    </row>
    <row r="199" ht="15.75" customHeight="1">
      <c r="A199" s="41"/>
      <c r="C199" s="41"/>
      <c r="D199" s="41"/>
      <c r="E199" s="41"/>
      <c r="F199" s="85"/>
    </row>
    <row r="200" ht="15.75" customHeight="1">
      <c r="A200" s="41"/>
      <c r="C200" s="41"/>
      <c r="D200" s="41"/>
      <c r="E200" s="41"/>
      <c r="F200" s="85"/>
    </row>
    <row r="201" ht="15.75" customHeight="1">
      <c r="A201" s="41"/>
      <c r="C201" s="41"/>
      <c r="D201" s="41"/>
      <c r="E201" s="41"/>
      <c r="F201" s="85"/>
    </row>
    <row r="202" ht="15.75" customHeight="1">
      <c r="A202" s="41"/>
      <c r="C202" s="41"/>
      <c r="D202" s="41"/>
      <c r="E202" s="41"/>
      <c r="F202" s="85"/>
    </row>
    <row r="203" ht="15.75" customHeight="1">
      <c r="A203" s="41"/>
      <c r="C203" s="41"/>
      <c r="D203" s="41"/>
      <c r="E203" s="41"/>
      <c r="F203" s="85"/>
    </row>
    <row r="204" ht="15.75" customHeight="1">
      <c r="A204" s="41"/>
      <c r="C204" s="41"/>
      <c r="D204" s="41"/>
      <c r="E204" s="41"/>
      <c r="F204" s="85"/>
    </row>
    <row r="205" ht="15.75" customHeight="1">
      <c r="A205" s="41"/>
      <c r="C205" s="41"/>
      <c r="D205" s="41"/>
      <c r="E205" s="41"/>
      <c r="F205" s="85"/>
    </row>
    <row r="206" ht="15.75" customHeight="1">
      <c r="A206" s="41"/>
      <c r="C206" s="41"/>
      <c r="D206" s="41"/>
      <c r="E206" s="41"/>
      <c r="F206" s="85"/>
    </row>
    <row r="207" ht="15.75" customHeight="1">
      <c r="A207" s="41"/>
      <c r="C207" s="41"/>
      <c r="D207" s="41"/>
      <c r="E207" s="41"/>
      <c r="F207" s="85"/>
    </row>
    <row r="208" ht="15.75" customHeight="1">
      <c r="A208" s="41"/>
      <c r="C208" s="41"/>
      <c r="D208" s="41"/>
      <c r="E208" s="41"/>
      <c r="F208" s="85"/>
    </row>
    <row r="209" ht="15.75" customHeight="1">
      <c r="A209" s="41"/>
      <c r="C209" s="41"/>
      <c r="D209" s="41"/>
      <c r="E209" s="41"/>
      <c r="F209" s="85"/>
    </row>
    <row r="210" ht="15.75" customHeight="1">
      <c r="A210" s="41"/>
      <c r="C210" s="41"/>
      <c r="D210" s="41"/>
      <c r="E210" s="41"/>
      <c r="F210" s="85"/>
    </row>
    <row r="211" ht="15.75" customHeight="1">
      <c r="A211" s="41"/>
      <c r="C211" s="41"/>
      <c r="D211" s="41"/>
      <c r="E211" s="41"/>
      <c r="F211" s="85"/>
    </row>
    <row r="212" ht="15.75" customHeight="1">
      <c r="A212" s="41"/>
      <c r="C212" s="41"/>
      <c r="D212" s="41"/>
      <c r="E212" s="41"/>
      <c r="F212" s="85"/>
    </row>
    <row r="213" ht="15.75" customHeight="1">
      <c r="A213" s="41"/>
      <c r="C213" s="41"/>
      <c r="D213" s="41"/>
      <c r="E213" s="41"/>
      <c r="F213" s="85"/>
    </row>
    <row r="214" ht="15.75" customHeight="1">
      <c r="A214" s="41"/>
      <c r="C214" s="41"/>
      <c r="D214" s="41"/>
      <c r="E214" s="41"/>
      <c r="F214" s="85"/>
    </row>
    <row r="215" ht="15.75" customHeight="1">
      <c r="A215" s="41"/>
      <c r="C215" s="41"/>
      <c r="D215" s="41"/>
      <c r="E215" s="41"/>
      <c r="F215" s="85"/>
    </row>
    <row r="216" ht="15.75" customHeight="1">
      <c r="A216" s="41"/>
      <c r="C216" s="41"/>
      <c r="D216" s="41"/>
      <c r="E216" s="41"/>
      <c r="F216" s="85"/>
    </row>
    <row r="217" ht="15.75" customHeight="1">
      <c r="A217" s="41"/>
      <c r="C217" s="41"/>
      <c r="D217" s="41"/>
      <c r="E217" s="41"/>
      <c r="F217" s="85"/>
    </row>
    <row r="218" ht="15.75" customHeight="1">
      <c r="A218" s="41"/>
      <c r="C218" s="41"/>
      <c r="D218" s="41"/>
      <c r="E218" s="41"/>
      <c r="F218" s="85"/>
    </row>
    <row r="219" ht="15.75" customHeight="1">
      <c r="A219" s="41"/>
      <c r="C219" s="41"/>
      <c r="D219" s="41"/>
      <c r="E219" s="41"/>
      <c r="F219" s="85"/>
    </row>
    <row r="220" ht="15.75" customHeight="1">
      <c r="A220" s="41"/>
      <c r="C220" s="41"/>
      <c r="D220" s="41"/>
      <c r="E220" s="41"/>
      <c r="F220" s="85"/>
    </row>
    <row r="221" ht="15.75" customHeight="1">
      <c r="A221" s="41"/>
      <c r="C221" s="41"/>
      <c r="D221" s="41"/>
      <c r="E221" s="41"/>
      <c r="F221" s="85"/>
    </row>
    <row r="222" ht="15.75" customHeight="1">
      <c r="A222" s="41"/>
      <c r="C222" s="41"/>
      <c r="D222" s="41"/>
      <c r="E222" s="41"/>
      <c r="F222" s="85"/>
    </row>
    <row r="223" ht="15.75" customHeight="1">
      <c r="A223" s="41"/>
      <c r="C223" s="41"/>
      <c r="D223" s="41"/>
      <c r="E223" s="41"/>
      <c r="F223" s="85"/>
    </row>
    <row r="224" ht="15.75" customHeight="1">
      <c r="A224" s="41"/>
      <c r="C224" s="41"/>
      <c r="D224" s="41"/>
      <c r="E224" s="41"/>
      <c r="F224" s="85"/>
    </row>
    <row r="225" ht="15.75" customHeight="1">
      <c r="A225" s="41"/>
      <c r="C225" s="41"/>
      <c r="D225" s="41"/>
      <c r="E225" s="41"/>
      <c r="F225" s="85"/>
    </row>
    <row r="226" ht="15.75" customHeight="1">
      <c r="A226" s="41"/>
      <c r="C226" s="41"/>
      <c r="D226" s="41"/>
      <c r="E226" s="41"/>
      <c r="F226" s="85"/>
    </row>
    <row r="227" ht="15.75" customHeight="1">
      <c r="A227" s="41"/>
      <c r="C227" s="41"/>
      <c r="D227" s="41"/>
      <c r="E227" s="41"/>
      <c r="F227" s="85"/>
    </row>
    <row r="228" ht="15.75" customHeight="1">
      <c r="A228" s="41"/>
      <c r="C228" s="41"/>
      <c r="D228" s="41"/>
      <c r="E228" s="41"/>
      <c r="F228" s="85"/>
    </row>
    <row r="229" ht="15.75" customHeight="1">
      <c r="A229" s="41"/>
      <c r="C229" s="41"/>
      <c r="D229" s="41"/>
      <c r="E229" s="41"/>
      <c r="F229" s="85"/>
    </row>
    <row r="230" ht="15.75" customHeight="1">
      <c r="A230" s="41"/>
      <c r="C230" s="41"/>
      <c r="D230" s="41"/>
      <c r="E230" s="41"/>
      <c r="F230" s="85"/>
    </row>
    <row r="231" ht="15.75" customHeight="1">
      <c r="A231" s="41"/>
      <c r="C231" s="41"/>
      <c r="D231" s="41"/>
      <c r="E231" s="41"/>
      <c r="F231" s="85"/>
    </row>
    <row r="232" ht="15.75" customHeight="1">
      <c r="A232" s="41"/>
      <c r="C232" s="41"/>
      <c r="D232" s="41"/>
      <c r="E232" s="41"/>
      <c r="F232" s="85"/>
    </row>
    <row r="233" ht="15.75" customHeight="1">
      <c r="A233" s="41"/>
      <c r="C233" s="41"/>
      <c r="D233" s="41"/>
      <c r="E233" s="41"/>
      <c r="F233" s="85"/>
    </row>
    <row r="234" ht="15.75" customHeight="1">
      <c r="A234" s="41"/>
      <c r="C234" s="41"/>
      <c r="D234" s="41"/>
      <c r="E234" s="41"/>
      <c r="F234" s="85"/>
    </row>
    <row r="235" ht="15.75" customHeight="1">
      <c r="A235" s="41"/>
      <c r="C235" s="41"/>
      <c r="D235" s="41"/>
      <c r="E235" s="41"/>
      <c r="F235" s="85"/>
    </row>
    <row r="236" ht="15.75" customHeight="1">
      <c r="A236" s="41"/>
      <c r="C236" s="41"/>
      <c r="D236" s="41"/>
      <c r="E236" s="41"/>
      <c r="F236" s="85"/>
    </row>
    <row r="237" ht="15.75" customHeight="1">
      <c r="A237" s="41"/>
      <c r="C237" s="41"/>
      <c r="D237" s="41"/>
      <c r="E237" s="41"/>
      <c r="F237" s="85"/>
    </row>
    <row r="238" ht="15.75" customHeight="1">
      <c r="A238" s="41"/>
      <c r="C238" s="41"/>
      <c r="D238" s="41"/>
      <c r="E238" s="41"/>
      <c r="F238" s="85"/>
    </row>
    <row r="239" ht="15.75" customHeight="1">
      <c r="A239" s="41"/>
      <c r="C239" s="41"/>
      <c r="D239" s="41"/>
      <c r="E239" s="41"/>
      <c r="F239" s="85"/>
    </row>
    <row r="240" ht="15.75" customHeight="1">
      <c r="A240" s="41"/>
      <c r="C240" s="41"/>
      <c r="D240" s="41"/>
      <c r="E240" s="41"/>
      <c r="F240" s="85"/>
    </row>
    <row r="241" ht="15.75" customHeight="1">
      <c r="A241" s="41"/>
      <c r="C241" s="41"/>
      <c r="D241" s="41"/>
      <c r="E241" s="41"/>
      <c r="F241" s="85"/>
    </row>
    <row r="242" ht="15.75" customHeight="1">
      <c r="A242" s="41"/>
      <c r="C242" s="41"/>
      <c r="D242" s="41"/>
      <c r="E242" s="41"/>
      <c r="F242" s="85"/>
    </row>
    <row r="243" ht="15.75" customHeight="1">
      <c r="A243" s="41"/>
      <c r="C243" s="41"/>
      <c r="D243" s="41"/>
      <c r="E243" s="41"/>
      <c r="F243" s="85"/>
    </row>
    <row r="244" ht="15.75" customHeight="1">
      <c r="A244" s="41"/>
      <c r="C244" s="41"/>
      <c r="D244" s="41"/>
      <c r="E244" s="41"/>
      <c r="F244" s="85"/>
    </row>
    <row r="245" ht="15.75" customHeight="1">
      <c r="A245" s="41"/>
      <c r="C245" s="41"/>
      <c r="D245" s="41"/>
      <c r="E245" s="41"/>
      <c r="F245" s="85"/>
    </row>
    <row r="246" ht="15.75" customHeight="1">
      <c r="A246" s="41"/>
      <c r="C246" s="41"/>
      <c r="D246" s="41"/>
      <c r="E246" s="41"/>
      <c r="F246" s="85"/>
    </row>
    <row r="247" ht="15.75" customHeight="1">
      <c r="A247" s="41"/>
      <c r="C247" s="41"/>
      <c r="D247" s="41"/>
      <c r="E247" s="41"/>
      <c r="F247" s="85"/>
    </row>
    <row r="248" ht="15.75" customHeight="1">
      <c r="A248" s="41"/>
      <c r="C248" s="41"/>
      <c r="D248" s="41"/>
      <c r="E248" s="41"/>
      <c r="F248" s="85"/>
    </row>
    <row r="249" ht="15.75" customHeight="1">
      <c r="A249" s="41"/>
      <c r="C249" s="41"/>
      <c r="D249" s="41"/>
      <c r="E249" s="41"/>
      <c r="F249" s="85"/>
    </row>
    <row r="250" ht="15.75" customHeight="1">
      <c r="A250" s="41"/>
      <c r="C250" s="41"/>
      <c r="D250" s="41"/>
      <c r="E250" s="41"/>
      <c r="F250" s="85"/>
    </row>
    <row r="251" ht="15.75" customHeight="1">
      <c r="A251" s="41"/>
      <c r="C251" s="41"/>
      <c r="D251" s="41"/>
      <c r="E251" s="41"/>
      <c r="F251" s="85"/>
    </row>
    <row r="252" ht="15.75" customHeight="1">
      <c r="A252" s="41"/>
      <c r="C252" s="41"/>
      <c r="D252" s="41"/>
      <c r="E252" s="41"/>
      <c r="F252" s="85"/>
    </row>
    <row r="253" ht="15.75" customHeight="1">
      <c r="A253" s="41"/>
      <c r="C253" s="41"/>
      <c r="D253" s="41"/>
      <c r="E253" s="41"/>
      <c r="F253" s="85"/>
    </row>
    <row r="254" ht="15.75" customHeight="1">
      <c r="A254" s="41"/>
      <c r="C254" s="41"/>
      <c r="D254" s="41"/>
      <c r="E254" s="41"/>
      <c r="F254" s="85"/>
    </row>
    <row r="255" ht="15.75" customHeight="1">
      <c r="A255" s="41"/>
      <c r="C255" s="41"/>
      <c r="D255" s="41"/>
      <c r="E255" s="41"/>
      <c r="F255" s="85"/>
    </row>
    <row r="256" ht="15.75" customHeight="1">
      <c r="A256" s="41"/>
      <c r="C256" s="41"/>
      <c r="D256" s="41"/>
      <c r="E256" s="41"/>
      <c r="F256" s="85"/>
    </row>
    <row r="257" ht="15.75" customHeight="1">
      <c r="A257" s="41"/>
      <c r="C257" s="41"/>
      <c r="D257" s="41"/>
      <c r="E257" s="41"/>
      <c r="F257" s="85"/>
    </row>
    <row r="258" ht="15.75" customHeight="1">
      <c r="A258" s="41"/>
      <c r="C258" s="41"/>
      <c r="D258" s="41"/>
      <c r="E258" s="41"/>
      <c r="F258" s="85"/>
    </row>
    <row r="259" ht="15.75" customHeight="1">
      <c r="A259" s="41"/>
      <c r="C259" s="41"/>
      <c r="D259" s="41"/>
      <c r="E259" s="41"/>
      <c r="F259" s="85"/>
    </row>
    <row r="260" ht="15.75" customHeight="1">
      <c r="A260" s="41"/>
      <c r="C260" s="41"/>
      <c r="D260" s="41"/>
      <c r="E260" s="41"/>
      <c r="F260" s="85"/>
    </row>
    <row r="261" ht="15.75" customHeight="1">
      <c r="A261" s="41"/>
      <c r="C261" s="41"/>
      <c r="D261" s="41"/>
      <c r="E261" s="41"/>
      <c r="F261" s="85"/>
    </row>
    <row r="262" ht="15.75" customHeight="1">
      <c r="A262" s="41"/>
      <c r="C262" s="41"/>
      <c r="D262" s="41"/>
      <c r="E262" s="41"/>
      <c r="F262" s="85"/>
    </row>
    <row r="263" ht="15.75" customHeight="1">
      <c r="A263" s="41"/>
      <c r="C263" s="41"/>
      <c r="D263" s="41"/>
      <c r="E263" s="41"/>
      <c r="F263" s="85"/>
    </row>
    <row r="264" ht="15.75" customHeight="1">
      <c r="A264" s="41"/>
      <c r="C264" s="41"/>
      <c r="D264" s="41"/>
      <c r="E264" s="41"/>
      <c r="F264" s="85"/>
    </row>
    <row r="265" ht="15.75" customHeight="1">
      <c r="A265" s="41"/>
      <c r="C265" s="41"/>
      <c r="D265" s="41"/>
      <c r="E265" s="41"/>
      <c r="F265" s="85"/>
    </row>
    <row r="266" ht="15.75" customHeight="1">
      <c r="A266" s="41"/>
      <c r="C266" s="41"/>
      <c r="D266" s="41"/>
      <c r="E266" s="41"/>
      <c r="F266" s="85"/>
    </row>
    <row r="267" ht="15.75" customHeight="1">
      <c r="A267" s="41"/>
      <c r="C267" s="41"/>
      <c r="D267" s="41"/>
      <c r="E267" s="41"/>
      <c r="F267" s="85"/>
    </row>
    <row r="268" ht="15.75" customHeight="1">
      <c r="A268" s="41"/>
      <c r="E268" s="41"/>
      <c r="F268" s="85"/>
    </row>
    <row r="269" ht="15.75" customHeight="1">
      <c r="A269" s="41"/>
      <c r="E269" s="41"/>
      <c r="F269" s="85"/>
    </row>
    <row r="270" ht="15.75" customHeight="1">
      <c r="A270" s="41"/>
      <c r="E270" s="41"/>
      <c r="F270" s="85"/>
    </row>
    <row r="271" ht="15.75" customHeight="1">
      <c r="A271" s="41"/>
      <c r="E271" s="41"/>
      <c r="F271" s="85"/>
    </row>
    <row r="272" ht="15.75" customHeight="1">
      <c r="A272" s="41"/>
      <c r="E272" s="41"/>
      <c r="F272" s="85"/>
    </row>
    <row r="273" ht="15.75" customHeight="1">
      <c r="A273" s="41"/>
      <c r="E273" s="41"/>
      <c r="F273" s="85"/>
    </row>
    <row r="274" ht="15.75" customHeight="1">
      <c r="A274" s="41"/>
      <c r="E274" s="41"/>
      <c r="F274" s="85"/>
    </row>
    <row r="275" ht="15.75" customHeight="1">
      <c r="A275" s="41"/>
      <c r="E275" s="41"/>
      <c r="F275" s="85"/>
    </row>
    <row r="276" ht="15.75" customHeight="1">
      <c r="A276" s="41"/>
      <c r="E276" s="41"/>
      <c r="F276" s="85"/>
    </row>
    <row r="277" ht="15.75" customHeight="1">
      <c r="A277" s="41"/>
      <c r="E277" s="41"/>
      <c r="F277" s="85"/>
    </row>
    <row r="278" ht="15.75" customHeight="1">
      <c r="A278" s="41"/>
      <c r="E278" s="41"/>
      <c r="F278" s="85"/>
    </row>
    <row r="279" ht="15.75" customHeight="1">
      <c r="A279" s="41"/>
      <c r="E279" s="41"/>
      <c r="F279" s="85"/>
    </row>
    <row r="280" ht="15.75" customHeight="1">
      <c r="A280" s="41"/>
      <c r="E280" s="41"/>
      <c r="F280" s="85"/>
    </row>
    <row r="281" ht="15.75" customHeight="1">
      <c r="A281" s="41"/>
      <c r="E281" s="41"/>
      <c r="F281" s="85"/>
    </row>
    <row r="282" ht="15.75" customHeight="1">
      <c r="A282" s="41"/>
      <c r="E282" s="41"/>
      <c r="F282" s="85"/>
    </row>
    <row r="283" ht="15.75" customHeight="1">
      <c r="A283" s="41"/>
      <c r="E283" s="41"/>
      <c r="F283" s="85"/>
    </row>
    <row r="284" ht="15.75" customHeight="1">
      <c r="A284" s="41"/>
      <c r="E284" s="41"/>
      <c r="F284" s="85"/>
    </row>
    <row r="285" ht="15.75" customHeight="1">
      <c r="A285" s="41"/>
      <c r="E285" s="41"/>
      <c r="F285" s="85"/>
    </row>
    <row r="286" ht="15.75" customHeight="1">
      <c r="A286" s="41"/>
      <c r="E286" s="41"/>
      <c r="F286" s="85"/>
    </row>
    <row r="287" ht="15.75" customHeight="1">
      <c r="A287" s="41"/>
      <c r="E287" s="41"/>
      <c r="F287" s="85"/>
    </row>
    <row r="288" ht="15.75" customHeight="1">
      <c r="A288" s="41"/>
      <c r="E288" s="41"/>
      <c r="F288" s="85"/>
    </row>
    <row r="289" ht="15.75" customHeight="1">
      <c r="A289" s="41"/>
      <c r="E289" s="41"/>
      <c r="F289" s="85"/>
    </row>
    <row r="290" ht="15.75" customHeight="1">
      <c r="A290" s="41"/>
      <c r="E290" s="41"/>
      <c r="F290" s="85"/>
    </row>
    <row r="291" ht="15.75" customHeight="1">
      <c r="A291" s="41"/>
      <c r="E291" s="41"/>
      <c r="F291" s="85"/>
    </row>
    <row r="292" ht="15.75" customHeight="1">
      <c r="A292" s="41"/>
      <c r="E292" s="41"/>
      <c r="F292" s="85"/>
    </row>
    <row r="293" ht="15.75" customHeight="1">
      <c r="A293" s="41"/>
      <c r="E293" s="41"/>
      <c r="F293" s="85"/>
    </row>
    <row r="294" ht="15.75" customHeight="1">
      <c r="A294" s="41"/>
      <c r="E294" s="41"/>
      <c r="F294" s="85"/>
    </row>
    <row r="295" ht="15.75" customHeight="1">
      <c r="A295" s="41"/>
      <c r="E295" s="41"/>
      <c r="F295" s="85"/>
    </row>
    <row r="296" ht="15.75" customHeight="1">
      <c r="A296" s="41"/>
      <c r="E296" s="41"/>
      <c r="F296" s="85"/>
    </row>
    <row r="297" ht="15.75" customHeight="1">
      <c r="A297" s="41"/>
      <c r="E297" s="41"/>
      <c r="F297" s="85"/>
    </row>
    <row r="298" ht="15.75" customHeight="1">
      <c r="A298" s="41"/>
      <c r="E298" s="41"/>
      <c r="F298" s="85"/>
    </row>
    <row r="299" ht="15.75" customHeight="1">
      <c r="A299" s="41"/>
      <c r="E299" s="41"/>
      <c r="F299" s="85"/>
    </row>
    <row r="300" ht="15.75" customHeight="1">
      <c r="A300" s="41"/>
      <c r="E300" s="41"/>
      <c r="F300" s="85"/>
    </row>
    <row r="301" ht="15.75" customHeight="1">
      <c r="A301" s="41"/>
      <c r="E301" s="41"/>
      <c r="F301" s="85"/>
    </row>
    <row r="302" ht="15.75" customHeight="1">
      <c r="A302" s="41"/>
      <c r="E302" s="41"/>
      <c r="F302" s="85"/>
    </row>
    <row r="303" ht="15.75" customHeight="1">
      <c r="A303" s="41"/>
      <c r="E303" s="41"/>
      <c r="F303" s="85"/>
    </row>
    <row r="304" ht="15.75" customHeight="1">
      <c r="A304" s="41"/>
      <c r="E304" s="41"/>
      <c r="F304" s="85"/>
    </row>
    <row r="305" ht="15.75" customHeight="1">
      <c r="A305" s="41"/>
      <c r="E305" s="41"/>
      <c r="F305" s="85"/>
    </row>
    <row r="306" ht="15.75" customHeight="1">
      <c r="A306" s="41"/>
      <c r="E306" s="41"/>
      <c r="F306" s="85"/>
    </row>
    <row r="307" ht="15.75" customHeight="1">
      <c r="A307" s="41"/>
      <c r="E307" s="41"/>
      <c r="F307" s="85"/>
    </row>
    <row r="308" ht="15.75" customHeight="1">
      <c r="A308" s="41"/>
      <c r="E308" s="41"/>
      <c r="F308" s="85"/>
    </row>
    <row r="309" ht="15.75" customHeight="1">
      <c r="A309" s="41"/>
      <c r="E309" s="41"/>
      <c r="F309" s="85"/>
    </row>
    <row r="310" ht="15.75" customHeight="1">
      <c r="A310" s="41"/>
      <c r="E310" s="41"/>
      <c r="F310" s="85"/>
    </row>
    <row r="311" ht="15.75" customHeight="1">
      <c r="A311" s="41"/>
      <c r="E311" s="41"/>
      <c r="F311" s="85"/>
    </row>
    <row r="312" ht="15.75" customHeight="1">
      <c r="A312" s="41"/>
      <c r="E312" s="41"/>
      <c r="F312" s="85"/>
    </row>
    <row r="313" ht="15.75" customHeight="1">
      <c r="A313" s="41"/>
      <c r="E313" s="41"/>
      <c r="F313" s="85"/>
    </row>
    <row r="314" ht="15.75" customHeight="1">
      <c r="A314" s="41"/>
      <c r="E314" s="41"/>
      <c r="F314" s="85"/>
    </row>
    <row r="315" ht="15.75" customHeight="1">
      <c r="A315" s="41"/>
      <c r="E315" s="41"/>
      <c r="F315" s="85"/>
    </row>
    <row r="316" ht="15.75" customHeight="1">
      <c r="A316" s="41"/>
      <c r="E316" s="41"/>
      <c r="F316" s="85"/>
    </row>
    <row r="317" ht="15.75" customHeight="1">
      <c r="A317" s="41"/>
      <c r="E317" s="41"/>
      <c r="F317" s="85"/>
    </row>
    <row r="318" ht="15.75" customHeight="1">
      <c r="A318" s="41"/>
      <c r="E318" s="41"/>
      <c r="F318" s="85"/>
    </row>
    <row r="319" ht="15.75" customHeight="1">
      <c r="A319" s="41"/>
      <c r="E319" s="41"/>
      <c r="F319" s="85"/>
    </row>
    <row r="320" ht="15.75" customHeight="1">
      <c r="A320" s="41"/>
      <c r="E320" s="41"/>
      <c r="F320" s="85"/>
    </row>
    <row r="321" ht="15.75" customHeight="1">
      <c r="A321" s="41"/>
      <c r="E321" s="41"/>
      <c r="F321" s="85"/>
    </row>
    <row r="322" ht="15.75" customHeight="1">
      <c r="A322" s="41"/>
      <c r="E322" s="41"/>
      <c r="F322" s="85"/>
    </row>
    <row r="323" ht="15.75" customHeight="1">
      <c r="A323" s="41"/>
      <c r="E323" s="41"/>
      <c r="F323" s="85"/>
    </row>
    <row r="324" ht="15.75" customHeight="1">
      <c r="A324" s="41"/>
      <c r="E324" s="41"/>
      <c r="F324" s="85"/>
    </row>
    <row r="325" ht="15.75" customHeight="1">
      <c r="A325" s="41"/>
      <c r="E325" s="41"/>
      <c r="F325" s="85"/>
    </row>
    <row r="326" ht="15.75" customHeight="1">
      <c r="A326" s="41"/>
      <c r="E326" s="41"/>
      <c r="F326" s="85"/>
    </row>
    <row r="327" ht="15.75" customHeight="1">
      <c r="A327" s="41"/>
      <c r="E327" s="41"/>
      <c r="F327" s="85"/>
    </row>
    <row r="328" ht="15.75" customHeight="1">
      <c r="A328" s="41"/>
      <c r="E328" s="41"/>
      <c r="F328" s="85"/>
    </row>
    <row r="329" ht="15.75" customHeight="1">
      <c r="A329" s="41"/>
      <c r="E329" s="41"/>
      <c r="F329" s="85"/>
    </row>
    <row r="330" ht="15.75" customHeight="1">
      <c r="A330" s="41"/>
      <c r="E330" s="41"/>
      <c r="F330" s="85"/>
    </row>
    <row r="331" ht="15.75" customHeight="1">
      <c r="A331" s="41"/>
      <c r="E331" s="41"/>
      <c r="F331" s="85"/>
    </row>
    <row r="332" ht="15.75" customHeight="1">
      <c r="A332" s="41"/>
      <c r="E332" s="41"/>
      <c r="F332" s="85"/>
    </row>
    <row r="333" ht="15.75" customHeight="1">
      <c r="A333" s="41"/>
      <c r="E333" s="41"/>
      <c r="F333" s="85"/>
    </row>
    <row r="334" ht="15.75" customHeight="1">
      <c r="A334" s="41"/>
      <c r="E334" s="41"/>
      <c r="F334" s="85"/>
    </row>
    <row r="335" ht="15.75" customHeight="1">
      <c r="A335" s="41"/>
      <c r="E335" s="41"/>
      <c r="F335" s="85"/>
    </row>
    <row r="336" ht="15.75" customHeight="1">
      <c r="A336" s="41"/>
      <c r="E336" s="41"/>
      <c r="F336" s="85"/>
    </row>
    <row r="337" ht="15.75" customHeight="1">
      <c r="A337" s="41"/>
      <c r="E337" s="41"/>
      <c r="F337" s="85"/>
    </row>
    <row r="338" ht="15.75" customHeight="1">
      <c r="A338" s="41"/>
      <c r="E338" s="41"/>
      <c r="F338" s="85"/>
    </row>
    <row r="339" ht="15.75" customHeight="1">
      <c r="A339" s="41"/>
      <c r="E339" s="41"/>
      <c r="F339" s="85"/>
    </row>
    <row r="340" ht="15.75" customHeight="1">
      <c r="A340" s="41"/>
      <c r="E340" s="41"/>
      <c r="F340" s="85"/>
    </row>
    <row r="341" ht="15.75" customHeight="1">
      <c r="A341" s="41"/>
      <c r="E341" s="41"/>
      <c r="F341" s="85"/>
    </row>
    <row r="342" ht="15.75" customHeight="1">
      <c r="A342" s="41"/>
      <c r="E342" s="41"/>
      <c r="F342" s="85"/>
    </row>
    <row r="343" ht="15.75" customHeight="1">
      <c r="A343" s="41"/>
      <c r="E343" s="41"/>
      <c r="F343" s="85"/>
    </row>
    <row r="344" ht="15.75" customHeight="1">
      <c r="A344" s="41"/>
      <c r="E344" s="41"/>
      <c r="F344" s="85"/>
    </row>
    <row r="345" ht="15.75" customHeight="1">
      <c r="A345" s="41"/>
      <c r="E345" s="41"/>
      <c r="F345" s="85"/>
    </row>
    <row r="346" ht="15.75" customHeight="1">
      <c r="A346" s="41"/>
      <c r="E346" s="41"/>
      <c r="F346" s="85"/>
    </row>
    <row r="347" ht="15.75" customHeight="1">
      <c r="A347" s="41"/>
      <c r="E347" s="41"/>
      <c r="F347" s="85"/>
    </row>
    <row r="348" ht="15.75" customHeight="1">
      <c r="A348" s="41"/>
      <c r="E348" s="41"/>
      <c r="F348" s="85"/>
    </row>
    <row r="349" ht="15.75" customHeight="1">
      <c r="A349" s="41"/>
      <c r="E349" s="41"/>
      <c r="F349" s="85"/>
    </row>
    <row r="350" ht="15.75" customHeight="1">
      <c r="A350" s="41"/>
      <c r="E350" s="41"/>
      <c r="F350" s="85"/>
    </row>
    <row r="351" ht="15.75" customHeight="1">
      <c r="A351" s="41"/>
      <c r="E351" s="41"/>
      <c r="F351" s="85"/>
    </row>
    <row r="352" ht="15.75" customHeight="1">
      <c r="A352" s="41"/>
      <c r="E352" s="41"/>
      <c r="F352" s="85"/>
    </row>
    <row r="353" ht="15.75" customHeight="1">
      <c r="A353" s="41"/>
      <c r="E353" s="41"/>
      <c r="F353" s="85"/>
    </row>
    <row r="354" ht="15.75" customHeight="1">
      <c r="A354" s="41"/>
      <c r="E354" s="41"/>
      <c r="F354" s="85"/>
    </row>
    <row r="355" ht="15.75" customHeight="1">
      <c r="A355" s="41"/>
      <c r="E355" s="41"/>
      <c r="F355" s="85"/>
    </row>
    <row r="356" ht="15.75" customHeight="1">
      <c r="A356" s="41"/>
      <c r="E356" s="41"/>
      <c r="F356" s="85"/>
    </row>
    <row r="357" ht="15.75" customHeight="1">
      <c r="A357" s="41"/>
      <c r="E357" s="41"/>
      <c r="F357" s="85"/>
    </row>
    <row r="358" ht="15.75" customHeight="1">
      <c r="A358" s="41"/>
      <c r="E358" s="41"/>
      <c r="F358" s="85"/>
    </row>
    <row r="359" ht="15.75" customHeight="1">
      <c r="A359" s="41"/>
      <c r="E359" s="41"/>
      <c r="F359" s="85"/>
    </row>
    <row r="360" ht="15.75" customHeight="1">
      <c r="A360" s="41"/>
      <c r="E360" s="41"/>
      <c r="F360" s="85"/>
    </row>
    <row r="361" ht="15.75" customHeight="1">
      <c r="A361" s="41"/>
      <c r="E361" s="41"/>
      <c r="F361" s="85"/>
    </row>
    <row r="362" ht="15.75" customHeight="1">
      <c r="A362" s="41"/>
      <c r="E362" s="41"/>
      <c r="F362" s="85"/>
    </row>
    <row r="363" ht="15.75" customHeight="1">
      <c r="A363" s="41"/>
      <c r="E363" s="41"/>
      <c r="F363" s="85"/>
    </row>
    <row r="364" ht="15.75" customHeight="1">
      <c r="A364" s="41"/>
      <c r="E364" s="41"/>
      <c r="F364" s="85"/>
    </row>
    <row r="365" ht="15.75" customHeight="1">
      <c r="A365" s="41"/>
      <c r="E365" s="41"/>
      <c r="F365" s="85"/>
    </row>
    <row r="366" ht="15.75" customHeight="1">
      <c r="A366" s="41"/>
      <c r="E366" s="41"/>
      <c r="F366" s="85"/>
    </row>
    <row r="367" ht="15.75" customHeight="1">
      <c r="A367" s="41"/>
      <c r="E367" s="41"/>
      <c r="F367" s="85"/>
    </row>
    <row r="368" ht="15.75" customHeight="1">
      <c r="A368" s="41"/>
      <c r="E368" s="41"/>
      <c r="F368" s="85"/>
    </row>
    <row r="369" ht="15.75" customHeight="1">
      <c r="A369" s="41"/>
      <c r="E369" s="41"/>
      <c r="F369" s="85"/>
    </row>
    <row r="370" ht="15.75" customHeight="1">
      <c r="A370" s="41"/>
      <c r="E370" s="41"/>
      <c r="F370" s="85"/>
    </row>
    <row r="371" ht="15.75" customHeight="1">
      <c r="A371" s="41"/>
      <c r="E371" s="41"/>
      <c r="F371" s="85"/>
    </row>
    <row r="372" ht="15.75" customHeight="1">
      <c r="A372" s="41"/>
      <c r="E372" s="41"/>
      <c r="F372" s="85"/>
    </row>
    <row r="373" ht="15.75" customHeight="1">
      <c r="A373" s="41"/>
      <c r="E373" s="41"/>
      <c r="F373" s="85"/>
    </row>
    <row r="374" ht="15.75" customHeight="1">
      <c r="A374" s="41"/>
      <c r="E374" s="41"/>
      <c r="F374" s="85"/>
    </row>
    <row r="375" ht="15.75" customHeight="1">
      <c r="A375" s="41"/>
      <c r="E375" s="41"/>
      <c r="F375" s="85"/>
    </row>
    <row r="376" ht="15.75" customHeight="1">
      <c r="A376" s="41"/>
      <c r="E376" s="41"/>
      <c r="F376" s="85"/>
    </row>
    <row r="377" ht="15.75" customHeight="1">
      <c r="A377" s="41"/>
      <c r="E377" s="41"/>
      <c r="F377" s="85"/>
    </row>
    <row r="378" ht="15.75" customHeight="1">
      <c r="A378" s="41"/>
      <c r="E378" s="41"/>
      <c r="F378" s="85"/>
    </row>
    <row r="379" ht="15.75" customHeight="1">
      <c r="A379" s="41"/>
      <c r="E379" s="41"/>
      <c r="F379" s="85"/>
    </row>
    <row r="380" ht="15.75" customHeight="1">
      <c r="A380" s="41"/>
      <c r="E380" s="41"/>
      <c r="F380" s="85"/>
    </row>
    <row r="381" ht="15.75" customHeight="1">
      <c r="A381" s="41"/>
      <c r="E381" s="41"/>
      <c r="F381" s="85"/>
    </row>
    <row r="382" ht="15.75" customHeight="1">
      <c r="A382" s="41"/>
      <c r="E382" s="41"/>
      <c r="F382" s="85"/>
    </row>
    <row r="383" ht="15.75" customHeight="1">
      <c r="A383" s="41"/>
      <c r="E383" s="41"/>
      <c r="F383" s="85"/>
    </row>
    <row r="384" ht="15.75" customHeight="1">
      <c r="A384" s="41"/>
      <c r="E384" s="41"/>
      <c r="F384" s="85"/>
    </row>
    <row r="385" ht="15.75" customHeight="1">
      <c r="A385" s="41"/>
      <c r="E385" s="41"/>
      <c r="F385" s="85"/>
    </row>
    <row r="386" ht="15.75" customHeight="1">
      <c r="A386" s="41"/>
      <c r="E386" s="41"/>
      <c r="F386" s="85"/>
    </row>
    <row r="387" ht="15.75" customHeight="1">
      <c r="A387" s="41"/>
      <c r="E387" s="41"/>
      <c r="F387" s="85"/>
    </row>
    <row r="388" ht="15.75" customHeight="1">
      <c r="A388" s="41"/>
      <c r="E388" s="41"/>
      <c r="F388" s="85"/>
    </row>
    <row r="389" ht="15.75" customHeight="1">
      <c r="A389" s="41"/>
      <c r="E389" s="41"/>
      <c r="F389" s="85"/>
    </row>
    <row r="390" ht="15.75" customHeight="1">
      <c r="A390" s="41"/>
      <c r="E390" s="41"/>
      <c r="F390" s="85"/>
    </row>
    <row r="391" ht="15.75" customHeight="1">
      <c r="A391" s="41"/>
      <c r="E391" s="41"/>
      <c r="F391" s="85"/>
    </row>
    <row r="392" ht="15.75" customHeight="1">
      <c r="A392" s="41"/>
      <c r="E392" s="41"/>
      <c r="F392" s="85"/>
    </row>
    <row r="393" ht="15.75" customHeight="1">
      <c r="A393" s="41"/>
      <c r="E393" s="41"/>
      <c r="F393" s="85"/>
    </row>
    <row r="394" ht="15.75" customHeight="1">
      <c r="A394" s="41"/>
      <c r="E394" s="41"/>
      <c r="F394" s="85"/>
    </row>
    <row r="395" ht="15.75" customHeight="1">
      <c r="A395" s="41"/>
      <c r="E395" s="41"/>
      <c r="F395" s="85"/>
    </row>
    <row r="396" ht="15.75" customHeight="1">
      <c r="A396" s="41"/>
      <c r="E396" s="41"/>
      <c r="F396" s="85"/>
    </row>
    <row r="397" ht="15.75" customHeight="1">
      <c r="A397" s="41"/>
      <c r="E397" s="41"/>
      <c r="F397" s="85"/>
    </row>
    <row r="398" ht="15.75" customHeight="1">
      <c r="A398" s="41"/>
      <c r="E398" s="41"/>
      <c r="F398" s="85"/>
    </row>
    <row r="399" ht="15.75" customHeight="1">
      <c r="A399" s="41"/>
      <c r="E399" s="41"/>
      <c r="F399" s="85"/>
    </row>
    <row r="400" ht="15.75" customHeight="1">
      <c r="A400" s="41"/>
      <c r="E400" s="41"/>
      <c r="F400" s="85"/>
    </row>
    <row r="401" ht="15.75" customHeight="1">
      <c r="A401" s="41"/>
      <c r="E401" s="41"/>
      <c r="F401" s="85"/>
    </row>
    <row r="402" ht="15.75" customHeight="1">
      <c r="A402" s="41"/>
      <c r="E402" s="41"/>
      <c r="F402" s="85"/>
    </row>
    <row r="403" ht="15.75" customHeight="1">
      <c r="A403" s="41"/>
      <c r="E403" s="41"/>
      <c r="F403" s="85"/>
    </row>
    <row r="404" ht="15.75" customHeight="1">
      <c r="A404" s="41"/>
      <c r="E404" s="41"/>
      <c r="F404" s="85"/>
    </row>
    <row r="405" ht="15.75" customHeight="1">
      <c r="A405" s="41"/>
      <c r="E405" s="41"/>
      <c r="F405" s="85"/>
    </row>
    <row r="406" ht="15.75" customHeight="1">
      <c r="A406" s="41"/>
      <c r="E406" s="41"/>
      <c r="F406" s="85"/>
    </row>
    <row r="407" ht="15.75" customHeight="1">
      <c r="A407" s="41"/>
      <c r="E407" s="41"/>
      <c r="F407" s="85"/>
    </row>
    <row r="408" ht="15.75" customHeight="1">
      <c r="A408" s="41"/>
      <c r="E408" s="41"/>
      <c r="F408" s="85"/>
    </row>
    <row r="409" ht="15.75" customHeight="1">
      <c r="A409" s="41"/>
      <c r="E409" s="41"/>
      <c r="F409" s="85"/>
    </row>
    <row r="410" ht="15.75" customHeight="1">
      <c r="A410" s="41"/>
      <c r="E410" s="41"/>
      <c r="F410" s="85"/>
    </row>
    <row r="411" ht="15.75" customHeight="1">
      <c r="A411" s="41"/>
      <c r="E411" s="41"/>
      <c r="F411" s="85"/>
    </row>
    <row r="412" ht="15.75" customHeight="1">
      <c r="A412" s="41"/>
      <c r="E412" s="41"/>
      <c r="F412" s="85"/>
    </row>
    <row r="413" ht="15.75" customHeight="1">
      <c r="A413" s="41"/>
      <c r="E413" s="41"/>
      <c r="F413" s="85"/>
    </row>
    <row r="414" ht="15.75" customHeight="1">
      <c r="A414" s="41"/>
      <c r="E414" s="41"/>
      <c r="F414" s="85"/>
    </row>
    <row r="415" ht="15.75" customHeight="1">
      <c r="A415" s="41"/>
      <c r="E415" s="41"/>
      <c r="F415" s="85"/>
    </row>
    <row r="416" ht="15.75" customHeight="1">
      <c r="A416" s="41"/>
      <c r="E416" s="41"/>
      <c r="F416" s="85"/>
    </row>
    <row r="417" ht="15.75" customHeight="1">
      <c r="A417" s="41"/>
      <c r="E417" s="41"/>
      <c r="F417" s="85"/>
    </row>
    <row r="418" ht="15.75" customHeight="1">
      <c r="A418" s="41"/>
      <c r="E418" s="41"/>
      <c r="F418" s="85"/>
    </row>
    <row r="419" ht="15.75" customHeight="1">
      <c r="A419" s="41"/>
      <c r="E419" s="41"/>
      <c r="F419" s="85"/>
    </row>
    <row r="420" ht="15.75" customHeight="1">
      <c r="A420" s="41"/>
      <c r="E420" s="41"/>
      <c r="F420" s="85"/>
    </row>
    <row r="421" ht="15.75" customHeight="1">
      <c r="A421" s="41"/>
      <c r="E421" s="41"/>
      <c r="F421" s="85"/>
    </row>
    <row r="422" ht="15.75" customHeight="1">
      <c r="A422" s="41"/>
      <c r="E422" s="41"/>
      <c r="F422" s="85"/>
    </row>
    <row r="423" ht="15.75" customHeight="1">
      <c r="A423" s="41"/>
      <c r="E423" s="41"/>
      <c r="F423" s="85"/>
    </row>
    <row r="424" ht="15.75" customHeight="1">
      <c r="A424" s="41"/>
      <c r="E424" s="41"/>
      <c r="F424" s="85"/>
    </row>
    <row r="425" ht="15.75" customHeight="1">
      <c r="A425" s="41"/>
      <c r="E425" s="41"/>
      <c r="F425" s="85"/>
    </row>
    <row r="426" ht="15.75" customHeight="1">
      <c r="A426" s="41"/>
      <c r="E426" s="41"/>
      <c r="F426" s="85"/>
    </row>
    <row r="427" ht="15.75" customHeight="1">
      <c r="A427" s="41"/>
      <c r="E427" s="41"/>
      <c r="F427" s="85"/>
    </row>
    <row r="428" ht="15.75" customHeight="1">
      <c r="A428" s="41"/>
      <c r="E428" s="41"/>
      <c r="F428" s="85"/>
    </row>
    <row r="429" ht="15.75" customHeight="1">
      <c r="A429" s="41"/>
      <c r="E429" s="41"/>
      <c r="F429" s="85"/>
    </row>
    <row r="430" ht="15.75" customHeight="1">
      <c r="A430" s="41"/>
      <c r="E430" s="41"/>
      <c r="F430" s="85"/>
    </row>
    <row r="431" ht="15.75" customHeight="1">
      <c r="A431" s="41"/>
      <c r="E431" s="41"/>
      <c r="F431" s="85"/>
    </row>
    <row r="432" ht="15.75" customHeight="1">
      <c r="A432" s="41"/>
      <c r="E432" s="41"/>
      <c r="F432" s="85"/>
    </row>
    <row r="433" ht="15.75" customHeight="1">
      <c r="A433" s="41"/>
      <c r="E433" s="41"/>
      <c r="F433" s="85"/>
    </row>
    <row r="434" ht="15.75" customHeight="1">
      <c r="A434" s="41"/>
      <c r="E434" s="41"/>
      <c r="F434" s="85"/>
    </row>
    <row r="435" ht="15.75" customHeight="1">
      <c r="A435" s="41"/>
      <c r="E435" s="41"/>
      <c r="F435" s="85"/>
    </row>
    <row r="436" ht="15.75" customHeight="1">
      <c r="A436" s="41"/>
      <c r="E436" s="41"/>
      <c r="F436" s="85"/>
    </row>
    <row r="437" ht="15.75" customHeight="1">
      <c r="A437" s="41"/>
      <c r="E437" s="41"/>
      <c r="F437" s="85"/>
    </row>
    <row r="438" ht="15.75" customHeight="1">
      <c r="A438" s="41"/>
      <c r="E438" s="41"/>
      <c r="F438" s="85"/>
    </row>
    <row r="439" ht="15.75" customHeight="1">
      <c r="A439" s="41"/>
      <c r="E439" s="41"/>
      <c r="F439" s="85"/>
    </row>
    <row r="440" ht="15.75" customHeight="1">
      <c r="A440" s="41"/>
      <c r="E440" s="41"/>
      <c r="F440" s="85"/>
    </row>
    <row r="441" ht="15.75" customHeight="1">
      <c r="A441" s="41"/>
      <c r="E441" s="41"/>
      <c r="F441" s="85"/>
    </row>
    <row r="442" ht="15.75" customHeight="1">
      <c r="A442" s="41"/>
      <c r="E442" s="41"/>
      <c r="F442" s="85"/>
    </row>
    <row r="443" ht="15.75" customHeight="1">
      <c r="A443" s="41"/>
      <c r="E443" s="41"/>
      <c r="F443" s="85"/>
    </row>
    <row r="444" ht="15.75" customHeight="1">
      <c r="A444" s="41"/>
      <c r="E444" s="41"/>
      <c r="F444" s="85"/>
    </row>
    <row r="445" ht="15.75" customHeight="1">
      <c r="A445" s="41"/>
      <c r="E445" s="41"/>
      <c r="F445" s="85"/>
    </row>
    <row r="446" ht="15.75" customHeight="1">
      <c r="A446" s="41"/>
      <c r="E446" s="41"/>
      <c r="F446" s="85"/>
    </row>
    <row r="447" ht="15.75" customHeight="1">
      <c r="A447" s="41"/>
      <c r="E447" s="41"/>
      <c r="F447" s="85"/>
    </row>
    <row r="448" ht="15.75" customHeight="1">
      <c r="A448" s="41"/>
      <c r="E448" s="41"/>
      <c r="F448" s="85"/>
    </row>
    <row r="449" ht="15.75" customHeight="1">
      <c r="A449" s="41"/>
      <c r="E449" s="41"/>
      <c r="F449" s="85"/>
    </row>
    <row r="450" ht="15.75" customHeight="1">
      <c r="A450" s="41"/>
      <c r="E450" s="41"/>
      <c r="F450" s="85"/>
    </row>
    <row r="451" ht="15.75" customHeight="1">
      <c r="A451" s="41"/>
      <c r="E451" s="41"/>
      <c r="F451" s="85"/>
    </row>
    <row r="452" ht="15.75" customHeight="1">
      <c r="A452" s="41"/>
      <c r="E452" s="41"/>
      <c r="F452" s="85"/>
    </row>
    <row r="453" ht="15.75" customHeight="1">
      <c r="A453" s="41"/>
      <c r="E453" s="41"/>
      <c r="F453" s="85"/>
    </row>
    <row r="454" ht="15.75" customHeight="1">
      <c r="A454" s="41"/>
      <c r="E454" s="41"/>
      <c r="F454" s="85"/>
    </row>
    <row r="455" ht="15.75" customHeight="1">
      <c r="A455" s="41"/>
      <c r="E455" s="41"/>
      <c r="F455" s="85"/>
    </row>
    <row r="456" ht="15.75" customHeight="1">
      <c r="A456" s="41"/>
      <c r="E456" s="41"/>
      <c r="F456" s="85"/>
    </row>
    <row r="457" ht="15.75" customHeight="1">
      <c r="A457" s="41"/>
      <c r="E457" s="41"/>
      <c r="F457" s="85"/>
    </row>
    <row r="458" ht="15.75" customHeight="1">
      <c r="A458" s="41"/>
      <c r="E458" s="41"/>
      <c r="F458" s="85"/>
    </row>
    <row r="459" ht="15.75" customHeight="1">
      <c r="A459" s="41"/>
      <c r="E459" s="41"/>
      <c r="F459" s="85"/>
    </row>
    <row r="460" ht="15.75" customHeight="1">
      <c r="A460" s="41"/>
      <c r="E460" s="41"/>
      <c r="F460" s="85"/>
    </row>
    <row r="461" ht="15.75" customHeight="1">
      <c r="A461" s="41"/>
      <c r="E461" s="41"/>
      <c r="F461" s="85"/>
    </row>
    <row r="462" ht="15.75" customHeight="1">
      <c r="A462" s="41"/>
      <c r="E462" s="41"/>
      <c r="F462" s="85"/>
    </row>
    <row r="463" ht="15.75" customHeight="1">
      <c r="A463" s="41"/>
      <c r="E463" s="41"/>
      <c r="F463" s="85"/>
    </row>
    <row r="464" ht="15.75" customHeight="1">
      <c r="A464" s="41"/>
      <c r="E464" s="41"/>
      <c r="F464" s="85"/>
    </row>
    <row r="465" ht="15.75" customHeight="1">
      <c r="A465" s="41"/>
      <c r="E465" s="41"/>
      <c r="F465" s="85"/>
    </row>
    <row r="466" ht="15.75" customHeight="1">
      <c r="A466" s="41"/>
      <c r="E466" s="41"/>
      <c r="F466" s="85"/>
    </row>
    <row r="467" ht="15.75" customHeight="1">
      <c r="A467" s="41"/>
      <c r="E467" s="41"/>
      <c r="F467" s="85"/>
    </row>
    <row r="468" ht="15.75" customHeight="1">
      <c r="A468" s="41"/>
      <c r="E468" s="41"/>
      <c r="F468" s="85"/>
    </row>
    <row r="469" ht="15.75" customHeight="1">
      <c r="A469" s="41"/>
      <c r="E469" s="41"/>
      <c r="F469" s="85"/>
    </row>
    <row r="470" ht="15.75" customHeight="1">
      <c r="A470" s="41"/>
      <c r="E470" s="41"/>
      <c r="F470" s="85"/>
    </row>
    <row r="471" ht="15.75" customHeight="1">
      <c r="A471" s="41"/>
      <c r="E471" s="41"/>
      <c r="F471" s="85"/>
    </row>
    <row r="472" ht="15.75" customHeight="1">
      <c r="A472" s="41"/>
      <c r="E472" s="41"/>
      <c r="F472" s="85"/>
    </row>
    <row r="473" ht="15.75" customHeight="1">
      <c r="A473" s="41"/>
      <c r="E473" s="41"/>
      <c r="F473" s="85"/>
    </row>
    <row r="474" ht="15.75" customHeight="1">
      <c r="A474" s="41"/>
      <c r="E474" s="41"/>
      <c r="F474" s="85"/>
    </row>
    <row r="475" ht="15.75" customHeight="1">
      <c r="A475" s="41"/>
      <c r="E475" s="41"/>
      <c r="F475" s="85"/>
    </row>
    <row r="476" ht="15.75" customHeight="1">
      <c r="A476" s="41"/>
      <c r="E476" s="41"/>
      <c r="F476" s="85"/>
    </row>
    <row r="477" ht="15.75" customHeight="1">
      <c r="A477" s="41"/>
      <c r="E477" s="41"/>
      <c r="F477" s="85"/>
    </row>
    <row r="478" ht="15.75" customHeight="1">
      <c r="A478" s="41"/>
      <c r="E478" s="41"/>
      <c r="F478" s="85"/>
    </row>
    <row r="479" ht="15.75" customHeight="1">
      <c r="A479" s="41"/>
      <c r="E479" s="41"/>
      <c r="F479" s="85"/>
    </row>
    <row r="480" ht="15.75" customHeight="1">
      <c r="A480" s="41"/>
      <c r="E480" s="41"/>
      <c r="F480" s="85"/>
    </row>
    <row r="481" ht="15.75" customHeight="1">
      <c r="A481" s="41"/>
      <c r="E481" s="41"/>
      <c r="F481" s="85"/>
    </row>
    <row r="482" ht="15.75" customHeight="1">
      <c r="A482" s="41"/>
      <c r="E482" s="41"/>
      <c r="F482" s="85"/>
    </row>
    <row r="483" ht="15.75" customHeight="1">
      <c r="A483" s="41"/>
      <c r="E483" s="41"/>
      <c r="F483" s="85"/>
    </row>
    <row r="484" ht="15.75" customHeight="1">
      <c r="A484" s="41"/>
      <c r="E484" s="41"/>
      <c r="F484" s="85"/>
    </row>
    <row r="485" ht="15.75" customHeight="1">
      <c r="A485" s="41"/>
      <c r="E485" s="41"/>
      <c r="F485" s="85"/>
    </row>
    <row r="486" ht="15.75" customHeight="1">
      <c r="A486" s="41"/>
      <c r="E486" s="41"/>
      <c r="F486" s="85"/>
    </row>
    <row r="487" ht="15.75" customHeight="1">
      <c r="A487" s="41"/>
      <c r="E487" s="41"/>
      <c r="F487" s="85"/>
    </row>
    <row r="488" ht="15.75" customHeight="1">
      <c r="A488" s="41"/>
      <c r="E488" s="41"/>
      <c r="F488" s="85"/>
    </row>
    <row r="489" ht="15.75" customHeight="1">
      <c r="A489" s="41"/>
      <c r="E489" s="41"/>
      <c r="F489" s="85"/>
    </row>
    <row r="490" ht="15.75" customHeight="1">
      <c r="A490" s="41"/>
      <c r="E490" s="41"/>
      <c r="F490" s="85"/>
    </row>
    <row r="491" ht="15.75" customHeight="1">
      <c r="A491" s="41"/>
      <c r="E491" s="41"/>
      <c r="F491" s="85"/>
    </row>
    <row r="492" ht="15.75" customHeight="1">
      <c r="A492" s="41"/>
      <c r="E492" s="41"/>
      <c r="F492" s="85"/>
    </row>
    <row r="493" ht="15.75" customHeight="1">
      <c r="A493" s="41"/>
      <c r="E493" s="41"/>
      <c r="F493" s="85"/>
    </row>
    <row r="494" ht="15.75" customHeight="1">
      <c r="A494" s="41"/>
      <c r="E494" s="41"/>
      <c r="F494" s="85"/>
    </row>
    <row r="495" ht="15.75" customHeight="1">
      <c r="A495" s="41"/>
      <c r="E495" s="41"/>
      <c r="F495" s="85"/>
    </row>
    <row r="496" ht="15.75" customHeight="1">
      <c r="A496" s="41"/>
      <c r="E496" s="41"/>
      <c r="F496" s="85"/>
    </row>
    <row r="497" ht="15.75" customHeight="1">
      <c r="A497" s="41"/>
      <c r="E497" s="41"/>
      <c r="F497" s="85"/>
    </row>
    <row r="498" ht="15.75" customHeight="1">
      <c r="A498" s="41"/>
      <c r="E498" s="41"/>
      <c r="F498" s="85"/>
    </row>
    <row r="499" ht="15.75" customHeight="1">
      <c r="A499" s="41"/>
      <c r="E499" s="41"/>
      <c r="F499" s="85"/>
    </row>
    <row r="500" ht="15.75" customHeight="1">
      <c r="A500" s="41"/>
      <c r="E500" s="41"/>
      <c r="F500" s="85"/>
    </row>
    <row r="501" ht="15.75" customHeight="1">
      <c r="A501" s="41"/>
      <c r="E501" s="41"/>
      <c r="F501" s="85"/>
    </row>
    <row r="502" ht="15.75" customHeight="1">
      <c r="A502" s="41"/>
      <c r="E502" s="41"/>
      <c r="F502" s="85"/>
    </row>
    <row r="503" ht="15.75" customHeight="1">
      <c r="A503" s="41"/>
      <c r="E503" s="41"/>
      <c r="F503" s="85"/>
    </row>
    <row r="504" ht="15.75" customHeight="1">
      <c r="A504" s="41"/>
      <c r="E504" s="41"/>
      <c r="F504" s="85"/>
    </row>
    <row r="505" ht="15.75" customHeight="1">
      <c r="A505" s="41"/>
      <c r="E505" s="41"/>
      <c r="F505" s="85"/>
    </row>
    <row r="506" ht="15.75" customHeight="1">
      <c r="A506" s="41"/>
      <c r="E506" s="41"/>
      <c r="F506" s="85"/>
    </row>
    <row r="507" ht="15.75" customHeight="1">
      <c r="A507" s="41"/>
      <c r="E507" s="41"/>
      <c r="F507" s="85"/>
    </row>
    <row r="508" ht="15.75" customHeight="1">
      <c r="A508" s="41"/>
      <c r="E508" s="41"/>
      <c r="F508" s="85"/>
    </row>
    <row r="509" ht="15.75" customHeight="1">
      <c r="A509" s="41"/>
      <c r="E509" s="41"/>
      <c r="F509" s="85"/>
    </row>
    <row r="510" ht="15.75" customHeight="1">
      <c r="A510" s="41"/>
      <c r="E510" s="41"/>
      <c r="F510" s="85"/>
    </row>
    <row r="511" ht="15.75" customHeight="1">
      <c r="A511" s="41"/>
      <c r="E511" s="41"/>
      <c r="F511" s="85"/>
    </row>
    <row r="512" ht="15.75" customHeight="1">
      <c r="A512" s="41"/>
      <c r="E512" s="41"/>
      <c r="F512" s="85"/>
    </row>
    <row r="513" ht="15.75" customHeight="1">
      <c r="A513" s="41"/>
      <c r="E513" s="41"/>
      <c r="F513" s="85"/>
    </row>
    <row r="514" ht="15.75" customHeight="1">
      <c r="A514" s="41"/>
      <c r="E514" s="41"/>
      <c r="F514" s="85"/>
    </row>
    <row r="515" ht="15.75" customHeight="1">
      <c r="A515" s="41"/>
      <c r="E515" s="41"/>
      <c r="F515" s="85"/>
    </row>
    <row r="516" ht="15.75" customHeight="1">
      <c r="A516" s="41"/>
      <c r="E516" s="41"/>
      <c r="F516" s="85"/>
    </row>
    <row r="517" ht="15.75" customHeight="1">
      <c r="A517" s="41"/>
      <c r="E517" s="41"/>
      <c r="F517" s="85"/>
    </row>
    <row r="518" ht="15.75" customHeight="1">
      <c r="A518" s="41"/>
      <c r="E518" s="41"/>
      <c r="F518" s="85"/>
    </row>
    <row r="519" ht="15.75" customHeight="1">
      <c r="A519" s="41"/>
      <c r="E519" s="41"/>
      <c r="F519" s="85"/>
    </row>
    <row r="520" ht="15.75" customHeight="1">
      <c r="A520" s="41"/>
      <c r="E520" s="41"/>
      <c r="F520" s="85"/>
    </row>
    <row r="521" ht="15.75" customHeight="1">
      <c r="A521" s="41"/>
      <c r="E521" s="41"/>
      <c r="F521" s="85"/>
    </row>
    <row r="522" ht="15.75" customHeight="1">
      <c r="A522" s="41"/>
      <c r="E522" s="41"/>
      <c r="F522" s="85"/>
    </row>
    <row r="523" ht="15.75" customHeight="1">
      <c r="A523" s="41"/>
      <c r="E523" s="41"/>
      <c r="F523" s="85"/>
    </row>
    <row r="524" ht="15.75" customHeight="1">
      <c r="A524" s="41"/>
      <c r="E524" s="41"/>
      <c r="F524" s="85"/>
    </row>
    <row r="525" ht="15.75" customHeight="1">
      <c r="A525" s="41"/>
      <c r="E525" s="41"/>
      <c r="F525" s="85"/>
    </row>
    <row r="526" ht="15.75" customHeight="1">
      <c r="A526" s="41"/>
      <c r="E526" s="41"/>
      <c r="F526" s="85"/>
    </row>
    <row r="527" ht="15.75" customHeight="1">
      <c r="A527" s="41"/>
      <c r="E527" s="41"/>
      <c r="F527" s="85"/>
    </row>
    <row r="528" ht="15.75" customHeight="1">
      <c r="A528" s="41"/>
      <c r="E528" s="41"/>
      <c r="F528" s="85"/>
    </row>
    <row r="529" ht="15.75" customHeight="1">
      <c r="A529" s="41"/>
      <c r="E529" s="41"/>
      <c r="F529" s="85"/>
    </row>
    <row r="530" ht="15.75" customHeight="1">
      <c r="A530" s="41"/>
      <c r="E530" s="41"/>
      <c r="F530" s="85"/>
    </row>
    <row r="531" ht="15.75" customHeight="1">
      <c r="A531" s="41"/>
      <c r="E531" s="41"/>
      <c r="F531" s="85"/>
    </row>
    <row r="532" ht="15.75" customHeight="1">
      <c r="A532" s="41"/>
      <c r="E532" s="41"/>
      <c r="F532" s="85"/>
    </row>
    <row r="533" ht="15.75" customHeight="1">
      <c r="A533" s="41"/>
      <c r="E533" s="41"/>
      <c r="F533" s="85"/>
    </row>
    <row r="534" ht="15.75" customHeight="1">
      <c r="A534" s="41"/>
      <c r="E534" s="41"/>
      <c r="F534" s="85"/>
    </row>
    <row r="535" ht="15.75" customHeight="1">
      <c r="A535" s="41"/>
      <c r="E535" s="41"/>
      <c r="F535" s="85"/>
    </row>
    <row r="536" ht="15.75" customHeight="1">
      <c r="A536" s="41"/>
      <c r="E536" s="41"/>
      <c r="F536" s="85"/>
    </row>
    <row r="537" ht="15.75" customHeight="1">
      <c r="A537" s="41"/>
      <c r="E537" s="41"/>
      <c r="F537" s="85"/>
    </row>
    <row r="538" ht="15.75" customHeight="1">
      <c r="A538" s="41"/>
      <c r="E538" s="41"/>
      <c r="F538" s="85"/>
    </row>
    <row r="539" ht="15.75" customHeight="1">
      <c r="A539" s="41"/>
      <c r="E539" s="41"/>
      <c r="F539" s="85"/>
    </row>
    <row r="540" ht="15.75" customHeight="1">
      <c r="A540" s="41"/>
      <c r="E540" s="41"/>
      <c r="F540" s="85"/>
    </row>
    <row r="541" ht="15.75" customHeight="1">
      <c r="A541" s="41"/>
      <c r="E541" s="41"/>
      <c r="F541" s="85"/>
    </row>
    <row r="542" ht="15.75" customHeight="1">
      <c r="A542" s="41"/>
      <c r="E542" s="41"/>
      <c r="F542" s="85"/>
    </row>
    <row r="543" ht="15.75" customHeight="1">
      <c r="A543" s="41"/>
      <c r="E543" s="41"/>
      <c r="F543" s="85"/>
    </row>
    <row r="544" ht="15.75" customHeight="1">
      <c r="A544" s="41"/>
      <c r="E544" s="41"/>
      <c r="F544" s="85"/>
    </row>
    <row r="545" ht="15.75" customHeight="1">
      <c r="A545" s="41"/>
      <c r="E545" s="41"/>
      <c r="F545" s="85"/>
    </row>
    <row r="546" ht="15.75" customHeight="1">
      <c r="A546" s="41"/>
      <c r="E546" s="41"/>
      <c r="F546" s="85"/>
    </row>
    <row r="547" ht="15.75" customHeight="1">
      <c r="A547" s="41"/>
      <c r="E547" s="41"/>
      <c r="F547" s="85"/>
    </row>
    <row r="548" ht="15.75" customHeight="1">
      <c r="A548" s="41"/>
      <c r="E548" s="41"/>
      <c r="F548" s="85"/>
    </row>
    <row r="549" ht="15.75" customHeight="1">
      <c r="A549" s="41"/>
      <c r="E549" s="41"/>
      <c r="F549" s="85"/>
    </row>
    <row r="550" ht="15.75" customHeight="1">
      <c r="A550" s="41"/>
      <c r="E550" s="41"/>
      <c r="F550" s="85"/>
    </row>
    <row r="551" ht="15.75" customHeight="1">
      <c r="A551" s="41"/>
      <c r="E551" s="41"/>
      <c r="F551" s="85"/>
    </row>
    <row r="552" ht="15.75" customHeight="1">
      <c r="A552" s="41"/>
      <c r="E552" s="41"/>
      <c r="F552" s="85"/>
    </row>
    <row r="553" ht="15.75" customHeight="1">
      <c r="A553" s="41"/>
      <c r="E553" s="41"/>
      <c r="F553" s="85"/>
    </row>
    <row r="554" ht="15.75" customHeight="1">
      <c r="A554" s="41"/>
      <c r="E554" s="41"/>
      <c r="F554" s="85"/>
    </row>
    <row r="555" ht="15.75" customHeight="1">
      <c r="A555" s="41"/>
      <c r="E555" s="41"/>
      <c r="F555" s="85"/>
    </row>
    <row r="556" ht="15.75" customHeight="1">
      <c r="A556" s="41"/>
      <c r="E556" s="41"/>
      <c r="F556" s="85"/>
    </row>
    <row r="557" ht="15.75" customHeight="1">
      <c r="A557" s="41"/>
      <c r="E557" s="41"/>
      <c r="F557" s="85"/>
    </row>
    <row r="558" ht="15.75" customHeight="1">
      <c r="A558" s="41"/>
      <c r="E558" s="41"/>
      <c r="F558" s="85"/>
    </row>
    <row r="559" ht="15.75" customHeight="1">
      <c r="A559" s="41"/>
      <c r="E559" s="41"/>
      <c r="F559" s="85"/>
    </row>
    <row r="560" ht="15.75" customHeight="1">
      <c r="A560" s="41"/>
      <c r="E560" s="41"/>
      <c r="F560" s="85"/>
    </row>
    <row r="561" ht="15.75" customHeight="1">
      <c r="A561" s="41"/>
      <c r="E561" s="41"/>
      <c r="F561" s="85"/>
    </row>
    <row r="562" ht="15.75" customHeight="1">
      <c r="A562" s="41"/>
      <c r="E562" s="41"/>
      <c r="F562" s="85"/>
    </row>
    <row r="563" ht="15.75" customHeight="1">
      <c r="A563" s="41"/>
      <c r="E563" s="41"/>
      <c r="F563" s="85"/>
    </row>
    <row r="564" ht="15.75" customHeight="1">
      <c r="A564" s="41"/>
      <c r="E564" s="41"/>
      <c r="F564" s="85"/>
    </row>
    <row r="565" ht="15.75" customHeight="1">
      <c r="A565" s="41"/>
      <c r="E565" s="41"/>
      <c r="F565" s="85"/>
    </row>
    <row r="566" ht="15.75" customHeight="1">
      <c r="A566" s="41"/>
      <c r="E566" s="41"/>
      <c r="F566" s="85"/>
    </row>
    <row r="567" ht="15.75" customHeight="1">
      <c r="A567" s="41"/>
      <c r="E567" s="41"/>
      <c r="F567" s="85"/>
    </row>
    <row r="568" ht="15.75" customHeight="1">
      <c r="A568" s="41"/>
      <c r="E568" s="41"/>
      <c r="F568" s="85"/>
    </row>
    <row r="569" ht="15.75" customHeight="1">
      <c r="A569" s="41"/>
      <c r="E569" s="41"/>
      <c r="F569" s="85"/>
    </row>
    <row r="570" ht="15.75" customHeight="1">
      <c r="A570" s="41"/>
      <c r="E570" s="41"/>
      <c r="F570" s="85"/>
    </row>
    <row r="571" ht="15.75" customHeight="1">
      <c r="A571" s="41"/>
      <c r="E571" s="41"/>
      <c r="F571" s="85"/>
    </row>
    <row r="572" ht="15.75" customHeight="1">
      <c r="A572" s="41"/>
      <c r="E572" s="41"/>
      <c r="F572" s="85"/>
    </row>
    <row r="573" ht="15.75" customHeight="1">
      <c r="A573" s="41"/>
      <c r="E573" s="41"/>
      <c r="F573" s="85"/>
    </row>
    <row r="574" ht="15.75" customHeight="1">
      <c r="A574" s="41"/>
      <c r="E574" s="41"/>
      <c r="F574" s="85"/>
    </row>
    <row r="575" ht="15.75" customHeight="1">
      <c r="A575" s="41"/>
      <c r="E575" s="41"/>
      <c r="F575" s="85"/>
    </row>
    <row r="576" ht="15.75" customHeight="1">
      <c r="A576" s="41"/>
      <c r="E576" s="41"/>
      <c r="F576" s="85"/>
    </row>
    <row r="577" ht="15.75" customHeight="1">
      <c r="A577" s="41"/>
      <c r="E577" s="41"/>
      <c r="F577" s="85"/>
    </row>
    <row r="578" ht="15.75" customHeight="1">
      <c r="A578" s="41"/>
      <c r="E578" s="41"/>
      <c r="F578" s="85"/>
    </row>
    <row r="579" ht="15.75" customHeight="1">
      <c r="A579" s="41"/>
      <c r="E579" s="41"/>
      <c r="F579" s="85"/>
    </row>
    <row r="580" ht="15.75" customHeight="1">
      <c r="A580" s="41"/>
      <c r="E580" s="41"/>
      <c r="F580" s="85"/>
    </row>
    <row r="581" ht="15.75" customHeight="1">
      <c r="A581" s="41"/>
      <c r="E581" s="41"/>
      <c r="F581" s="85"/>
    </row>
    <row r="582" ht="15.75" customHeight="1">
      <c r="A582" s="41"/>
      <c r="E582" s="41"/>
      <c r="F582" s="85"/>
    </row>
    <row r="583" ht="15.75" customHeight="1">
      <c r="A583" s="41"/>
      <c r="E583" s="41"/>
      <c r="F583" s="85"/>
    </row>
    <row r="584" ht="15.75" customHeight="1">
      <c r="A584" s="41"/>
      <c r="E584" s="41"/>
      <c r="F584" s="85"/>
    </row>
    <row r="585" ht="15.75" customHeight="1">
      <c r="A585" s="41"/>
      <c r="E585" s="41"/>
      <c r="F585" s="85"/>
    </row>
    <row r="586" ht="15.75" customHeight="1">
      <c r="A586" s="41"/>
      <c r="E586" s="41"/>
      <c r="F586" s="85"/>
    </row>
    <row r="587" ht="15.75" customHeight="1">
      <c r="A587" s="41"/>
      <c r="E587" s="41"/>
      <c r="F587" s="85"/>
    </row>
    <row r="588" ht="15.75" customHeight="1">
      <c r="A588" s="41"/>
      <c r="E588" s="41"/>
      <c r="F588" s="85"/>
    </row>
    <row r="589" ht="15.75" customHeight="1">
      <c r="A589" s="41"/>
      <c r="E589" s="41"/>
      <c r="F589" s="85"/>
    </row>
    <row r="590" ht="15.75" customHeight="1">
      <c r="A590" s="41"/>
      <c r="E590" s="41"/>
      <c r="F590" s="85"/>
    </row>
    <row r="591" ht="15.75" customHeight="1">
      <c r="A591" s="41"/>
      <c r="E591" s="41"/>
      <c r="F591" s="85"/>
    </row>
    <row r="592" ht="15.75" customHeight="1">
      <c r="A592" s="41"/>
      <c r="E592" s="41"/>
      <c r="F592" s="85"/>
    </row>
    <row r="593" ht="15.75" customHeight="1">
      <c r="A593" s="41"/>
      <c r="E593" s="41"/>
      <c r="F593" s="85"/>
    </row>
    <row r="594" ht="15.75" customHeight="1">
      <c r="A594" s="41"/>
      <c r="E594" s="41"/>
      <c r="F594" s="85"/>
    </row>
    <row r="595" ht="15.75" customHeight="1">
      <c r="A595" s="41"/>
      <c r="E595" s="41"/>
      <c r="F595" s="85"/>
    </row>
    <row r="596" ht="15.75" customHeight="1">
      <c r="A596" s="41"/>
      <c r="E596" s="41"/>
      <c r="F596" s="85"/>
    </row>
    <row r="597" ht="15.75" customHeight="1">
      <c r="A597" s="41"/>
      <c r="E597" s="41"/>
      <c r="F597" s="85"/>
    </row>
    <row r="598" ht="15.75" customHeight="1">
      <c r="A598" s="41"/>
      <c r="E598" s="41"/>
      <c r="F598" s="85"/>
    </row>
    <row r="599" ht="15.75" customHeight="1">
      <c r="A599" s="41"/>
      <c r="E599" s="41"/>
      <c r="F599" s="85"/>
    </row>
    <row r="600" ht="15.75" customHeight="1">
      <c r="A600" s="41"/>
      <c r="E600" s="41"/>
      <c r="F600" s="85"/>
    </row>
    <row r="601" ht="15.75" customHeight="1">
      <c r="A601" s="41"/>
      <c r="E601" s="41"/>
      <c r="F601" s="85"/>
    </row>
    <row r="602" ht="15.75" customHeight="1">
      <c r="A602" s="41"/>
      <c r="E602" s="41"/>
      <c r="F602" s="85"/>
    </row>
    <row r="603" ht="15.75" customHeight="1">
      <c r="A603" s="41"/>
      <c r="E603" s="41"/>
      <c r="F603" s="85"/>
    </row>
    <row r="604" ht="15.75" customHeight="1">
      <c r="A604" s="41"/>
      <c r="E604" s="41"/>
      <c r="F604" s="85"/>
    </row>
    <row r="605" ht="15.75" customHeight="1">
      <c r="A605" s="41"/>
      <c r="E605" s="41"/>
      <c r="F605" s="85"/>
    </row>
    <row r="606" ht="15.75" customHeight="1">
      <c r="A606" s="41"/>
      <c r="E606" s="41"/>
      <c r="F606" s="85"/>
    </row>
    <row r="607" ht="15.75" customHeight="1">
      <c r="A607" s="41"/>
      <c r="E607" s="41"/>
      <c r="F607" s="85"/>
    </row>
    <row r="608" ht="15.75" customHeight="1">
      <c r="A608" s="41"/>
      <c r="E608" s="41"/>
      <c r="F608" s="85"/>
    </row>
    <row r="609" ht="15.75" customHeight="1">
      <c r="A609" s="41"/>
      <c r="E609" s="41"/>
      <c r="F609" s="85"/>
    </row>
    <row r="610" ht="15.75" customHeight="1">
      <c r="A610" s="41"/>
      <c r="E610" s="41"/>
      <c r="F610" s="85"/>
    </row>
    <row r="611" ht="15.75" customHeight="1">
      <c r="A611" s="41"/>
      <c r="E611" s="41"/>
      <c r="F611" s="85"/>
    </row>
    <row r="612" ht="15.75" customHeight="1">
      <c r="A612" s="41"/>
      <c r="E612" s="41"/>
      <c r="F612" s="85"/>
    </row>
    <row r="613" ht="15.75" customHeight="1">
      <c r="A613" s="41"/>
      <c r="E613" s="41"/>
      <c r="F613" s="85"/>
    </row>
    <row r="614" ht="15.75" customHeight="1">
      <c r="A614" s="41"/>
      <c r="E614" s="41"/>
      <c r="F614" s="85"/>
    </row>
    <row r="615" ht="15.75" customHeight="1">
      <c r="A615" s="41"/>
      <c r="E615" s="41"/>
      <c r="F615" s="85"/>
    </row>
    <row r="616" ht="15.75" customHeight="1">
      <c r="A616" s="41"/>
      <c r="E616" s="41"/>
      <c r="F616" s="85"/>
    </row>
    <row r="617" ht="15.75" customHeight="1">
      <c r="A617" s="41"/>
      <c r="E617" s="41"/>
      <c r="F617" s="85"/>
    </row>
    <row r="618" ht="15.75" customHeight="1">
      <c r="A618" s="41"/>
      <c r="E618" s="41"/>
      <c r="F618" s="85"/>
    </row>
    <row r="619" ht="15.75" customHeight="1">
      <c r="A619" s="41"/>
      <c r="E619" s="41"/>
      <c r="F619" s="85"/>
    </row>
    <row r="620" ht="15.75" customHeight="1">
      <c r="A620" s="41"/>
      <c r="E620" s="41"/>
      <c r="F620" s="85"/>
    </row>
    <row r="621" ht="15.75" customHeight="1">
      <c r="A621" s="41"/>
      <c r="E621" s="41"/>
      <c r="F621" s="85"/>
    </row>
    <row r="622" ht="15.75" customHeight="1">
      <c r="A622" s="41"/>
      <c r="E622" s="41"/>
      <c r="F622" s="85"/>
    </row>
    <row r="623" ht="15.75" customHeight="1">
      <c r="A623" s="41"/>
      <c r="E623" s="41"/>
      <c r="F623" s="85"/>
    </row>
    <row r="624" ht="15.75" customHeight="1">
      <c r="A624" s="41"/>
      <c r="E624" s="41"/>
      <c r="F624" s="85"/>
    </row>
    <row r="625" ht="15.75" customHeight="1">
      <c r="A625" s="41"/>
      <c r="E625" s="41"/>
      <c r="F625" s="85"/>
    </row>
    <row r="626" ht="15.75" customHeight="1">
      <c r="A626" s="41"/>
      <c r="E626" s="41"/>
      <c r="F626" s="85"/>
    </row>
    <row r="627" ht="15.75" customHeight="1">
      <c r="A627" s="41"/>
      <c r="E627" s="41"/>
      <c r="F627" s="85"/>
    </row>
    <row r="628" ht="15.75" customHeight="1">
      <c r="A628" s="41"/>
      <c r="E628" s="41"/>
      <c r="F628" s="85"/>
    </row>
    <row r="629" ht="15.75" customHeight="1">
      <c r="A629" s="41"/>
      <c r="E629" s="41"/>
      <c r="F629" s="85"/>
    </row>
    <row r="630" ht="15.75" customHeight="1">
      <c r="A630" s="41"/>
      <c r="E630" s="41"/>
      <c r="F630" s="85"/>
    </row>
    <row r="631" ht="15.75" customHeight="1">
      <c r="A631" s="41"/>
      <c r="E631" s="41"/>
      <c r="F631" s="85"/>
    </row>
    <row r="632" ht="15.75" customHeight="1">
      <c r="A632" s="41"/>
      <c r="E632" s="41"/>
      <c r="F632" s="85"/>
    </row>
    <row r="633" ht="15.75" customHeight="1">
      <c r="A633" s="41"/>
      <c r="E633" s="41"/>
      <c r="F633" s="85"/>
    </row>
    <row r="634" ht="15.75" customHeight="1">
      <c r="A634" s="41"/>
      <c r="E634" s="41"/>
      <c r="F634" s="85"/>
    </row>
    <row r="635" ht="15.75" customHeight="1">
      <c r="A635" s="41"/>
      <c r="E635" s="41"/>
      <c r="F635" s="85"/>
    </row>
    <row r="636" ht="15.75" customHeight="1">
      <c r="A636" s="41"/>
      <c r="E636" s="41"/>
      <c r="F636" s="85"/>
    </row>
    <row r="637" ht="15.75" customHeight="1">
      <c r="A637" s="41"/>
      <c r="E637" s="41"/>
      <c r="F637" s="85"/>
    </row>
    <row r="638" ht="15.75" customHeight="1">
      <c r="A638" s="41"/>
      <c r="E638" s="41"/>
      <c r="F638" s="85"/>
    </row>
    <row r="639" ht="15.75" customHeight="1">
      <c r="A639" s="41"/>
      <c r="E639" s="41"/>
      <c r="F639" s="85"/>
    </row>
    <row r="640" ht="15.75" customHeight="1">
      <c r="A640" s="41"/>
      <c r="E640" s="41"/>
      <c r="F640" s="85"/>
    </row>
    <row r="641" ht="15.75" customHeight="1">
      <c r="A641" s="41"/>
      <c r="E641" s="41"/>
      <c r="F641" s="85"/>
    </row>
    <row r="642" ht="15.75" customHeight="1">
      <c r="A642" s="41"/>
      <c r="E642" s="41"/>
      <c r="F642" s="85"/>
    </row>
    <row r="643" ht="15.75" customHeight="1">
      <c r="A643" s="41"/>
      <c r="E643" s="41"/>
      <c r="F643" s="85"/>
    </row>
    <row r="644" ht="15.75" customHeight="1">
      <c r="A644" s="41"/>
      <c r="E644" s="41"/>
      <c r="F644" s="85"/>
    </row>
    <row r="645" ht="15.75" customHeight="1">
      <c r="A645" s="41"/>
      <c r="E645" s="41"/>
      <c r="F645" s="85"/>
    </row>
    <row r="646" ht="15.75" customHeight="1">
      <c r="A646" s="41"/>
      <c r="E646" s="41"/>
      <c r="F646" s="85"/>
    </row>
    <row r="647" ht="15.75" customHeight="1">
      <c r="A647" s="41"/>
      <c r="E647" s="41"/>
      <c r="F647" s="85"/>
    </row>
    <row r="648" ht="15.75" customHeight="1">
      <c r="A648" s="41"/>
      <c r="E648" s="41"/>
      <c r="F648" s="85"/>
    </row>
    <row r="649" ht="15.75" customHeight="1">
      <c r="A649" s="41"/>
      <c r="E649" s="41"/>
      <c r="F649" s="85"/>
    </row>
    <row r="650" ht="15.75" customHeight="1">
      <c r="A650" s="41"/>
      <c r="E650" s="41"/>
      <c r="F650" s="85"/>
    </row>
    <row r="651" ht="15.75" customHeight="1">
      <c r="A651" s="41"/>
      <c r="E651" s="41"/>
      <c r="F651" s="85"/>
    </row>
    <row r="652" ht="15.75" customHeight="1">
      <c r="A652" s="41"/>
      <c r="E652" s="41"/>
      <c r="F652" s="85"/>
    </row>
    <row r="653" ht="15.75" customHeight="1">
      <c r="A653" s="41"/>
      <c r="E653" s="41"/>
      <c r="F653" s="85"/>
    </row>
    <row r="654" ht="15.75" customHeight="1">
      <c r="A654" s="41"/>
      <c r="E654" s="41"/>
      <c r="F654" s="85"/>
    </row>
    <row r="655" ht="15.75" customHeight="1">
      <c r="A655" s="41"/>
      <c r="E655" s="41"/>
      <c r="F655" s="85"/>
    </row>
    <row r="656" ht="15.75" customHeight="1">
      <c r="A656" s="41"/>
      <c r="E656" s="41"/>
      <c r="F656" s="85"/>
    </row>
    <row r="657" ht="15.75" customHeight="1">
      <c r="A657" s="41"/>
      <c r="E657" s="41"/>
      <c r="F657" s="85"/>
    </row>
    <row r="658" ht="15.75" customHeight="1">
      <c r="A658" s="41"/>
      <c r="E658" s="41"/>
      <c r="F658" s="85"/>
    </row>
    <row r="659" ht="15.75" customHeight="1">
      <c r="A659" s="41"/>
      <c r="E659" s="41"/>
      <c r="F659" s="85"/>
    </row>
    <row r="660" ht="15.75" customHeight="1">
      <c r="A660" s="41"/>
      <c r="E660" s="41"/>
      <c r="F660" s="85"/>
    </row>
    <row r="661" ht="15.75" customHeight="1">
      <c r="A661" s="41"/>
      <c r="E661" s="41"/>
      <c r="F661" s="85"/>
    </row>
    <row r="662" ht="15.75" customHeight="1">
      <c r="A662" s="41"/>
      <c r="E662" s="41"/>
      <c r="F662" s="85"/>
    </row>
    <row r="663" ht="15.75" customHeight="1">
      <c r="A663" s="41"/>
      <c r="E663" s="41"/>
      <c r="F663" s="85"/>
    </row>
    <row r="664" ht="15.75" customHeight="1">
      <c r="A664" s="41"/>
      <c r="E664" s="41"/>
      <c r="F664" s="85"/>
    </row>
    <row r="665" ht="15.75" customHeight="1">
      <c r="A665" s="41"/>
      <c r="E665" s="41"/>
      <c r="F665" s="85"/>
    </row>
    <row r="666" ht="15.75" customHeight="1">
      <c r="A666" s="41"/>
      <c r="E666" s="41"/>
      <c r="F666" s="85"/>
    </row>
    <row r="667" ht="15.75" customHeight="1">
      <c r="A667" s="41"/>
      <c r="E667" s="41"/>
      <c r="F667" s="85"/>
    </row>
    <row r="668" ht="15.75" customHeight="1">
      <c r="A668" s="41"/>
      <c r="E668" s="41"/>
      <c r="F668" s="85"/>
    </row>
    <row r="669" ht="15.75" customHeight="1">
      <c r="A669" s="41"/>
      <c r="E669" s="41"/>
      <c r="F669" s="85"/>
    </row>
    <row r="670" ht="15.75" customHeight="1">
      <c r="A670" s="41"/>
      <c r="E670" s="41"/>
      <c r="F670" s="85"/>
    </row>
    <row r="671" ht="15.75" customHeight="1">
      <c r="A671" s="41"/>
      <c r="E671" s="41"/>
      <c r="F671" s="85"/>
    </row>
    <row r="672" ht="15.75" customHeight="1">
      <c r="A672" s="41"/>
      <c r="E672" s="41"/>
      <c r="F672" s="85"/>
    </row>
    <row r="673" ht="15.75" customHeight="1">
      <c r="A673" s="41"/>
      <c r="E673" s="41"/>
      <c r="F673" s="85"/>
    </row>
    <row r="674" ht="15.75" customHeight="1">
      <c r="A674" s="41"/>
      <c r="E674" s="41"/>
      <c r="F674" s="85"/>
    </row>
    <row r="675" ht="15.75" customHeight="1">
      <c r="A675" s="41"/>
      <c r="E675" s="41"/>
      <c r="F675" s="85"/>
    </row>
    <row r="676" ht="15.75" customHeight="1">
      <c r="A676" s="41"/>
      <c r="E676" s="41"/>
      <c r="F676" s="85"/>
    </row>
    <row r="677" ht="15.75" customHeight="1">
      <c r="A677" s="41"/>
      <c r="E677" s="41"/>
      <c r="F677" s="85"/>
    </row>
    <row r="678" ht="15.75" customHeight="1">
      <c r="A678" s="41"/>
      <c r="E678" s="41"/>
      <c r="F678" s="85"/>
    </row>
    <row r="679" ht="15.75" customHeight="1">
      <c r="A679" s="41"/>
      <c r="E679" s="41"/>
      <c r="F679" s="85"/>
    </row>
    <row r="680" ht="15.75" customHeight="1">
      <c r="A680" s="41"/>
      <c r="E680" s="41"/>
      <c r="F680" s="85"/>
    </row>
    <row r="681" ht="15.75" customHeight="1">
      <c r="A681" s="41"/>
      <c r="E681" s="41"/>
      <c r="F681" s="85"/>
    </row>
    <row r="682" ht="15.75" customHeight="1">
      <c r="A682" s="41"/>
      <c r="E682" s="41"/>
      <c r="F682" s="85"/>
    </row>
    <row r="683" ht="15.75" customHeight="1">
      <c r="A683" s="41"/>
      <c r="E683" s="41"/>
      <c r="F683" s="85"/>
    </row>
    <row r="684" ht="15.75" customHeight="1">
      <c r="A684" s="41"/>
      <c r="E684" s="41"/>
      <c r="F684" s="85"/>
    </row>
    <row r="685" ht="15.75" customHeight="1">
      <c r="A685" s="41"/>
      <c r="E685" s="41"/>
      <c r="F685" s="85"/>
    </row>
    <row r="686" ht="15.75" customHeight="1">
      <c r="A686" s="41"/>
      <c r="E686" s="41"/>
      <c r="F686" s="85"/>
    </row>
    <row r="687" ht="15.75" customHeight="1">
      <c r="A687" s="41"/>
      <c r="E687" s="41"/>
      <c r="F687" s="85"/>
    </row>
    <row r="688" ht="15.75" customHeight="1">
      <c r="A688" s="41"/>
      <c r="E688" s="41"/>
      <c r="F688" s="85"/>
    </row>
    <row r="689" ht="15.75" customHeight="1">
      <c r="A689" s="41"/>
      <c r="E689" s="41"/>
      <c r="F689" s="85"/>
    </row>
    <row r="690" ht="15.75" customHeight="1">
      <c r="A690" s="41"/>
      <c r="E690" s="41"/>
      <c r="F690" s="85"/>
    </row>
    <row r="691" ht="15.75" customHeight="1">
      <c r="A691" s="41"/>
      <c r="E691" s="41"/>
      <c r="F691" s="85"/>
    </row>
    <row r="692" ht="15.75" customHeight="1">
      <c r="A692" s="41"/>
      <c r="E692" s="41"/>
      <c r="F692" s="85"/>
    </row>
    <row r="693" ht="15.75" customHeight="1">
      <c r="A693" s="41"/>
      <c r="E693" s="41"/>
      <c r="F693" s="85"/>
    </row>
    <row r="694" ht="15.75" customHeight="1">
      <c r="A694" s="41"/>
      <c r="E694" s="41"/>
      <c r="F694" s="85"/>
    </row>
    <row r="695" ht="15.75" customHeight="1">
      <c r="A695" s="41"/>
      <c r="E695" s="41"/>
      <c r="F695" s="85"/>
    </row>
    <row r="696" ht="15.75" customHeight="1">
      <c r="A696" s="41"/>
      <c r="E696" s="41"/>
      <c r="F696" s="85"/>
    </row>
    <row r="697" ht="15.75" customHeight="1">
      <c r="A697" s="41"/>
      <c r="E697" s="41"/>
      <c r="F697" s="85"/>
    </row>
    <row r="698" ht="15.75" customHeight="1">
      <c r="A698" s="41"/>
      <c r="E698" s="41"/>
      <c r="F698" s="85"/>
    </row>
    <row r="699" ht="15.75" customHeight="1">
      <c r="A699" s="41"/>
      <c r="E699" s="41"/>
      <c r="F699" s="85"/>
    </row>
    <row r="700" ht="15.75" customHeight="1">
      <c r="A700" s="41"/>
      <c r="E700" s="41"/>
      <c r="F700" s="85"/>
    </row>
    <row r="701" ht="15.75" customHeight="1">
      <c r="A701" s="41"/>
      <c r="E701" s="41"/>
      <c r="F701" s="85"/>
    </row>
    <row r="702" ht="15.75" customHeight="1">
      <c r="A702" s="41"/>
      <c r="E702" s="41"/>
      <c r="F702" s="85"/>
    </row>
    <row r="703" ht="15.75" customHeight="1">
      <c r="A703" s="41"/>
      <c r="E703" s="41"/>
      <c r="F703" s="85"/>
    </row>
    <row r="704" ht="15.75" customHeight="1">
      <c r="A704" s="41"/>
      <c r="E704" s="41"/>
      <c r="F704" s="85"/>
    </row>
    <row r="705" ht="15.75" customHeight="1">
      <c r="A705" s="41"/>
      <c r="E705" s="41"/>
      <c r="F705" s="85"/>
    </row>
    <row r="706" ht="15.75" customHeight="1">
      <c r="A706" s="41"/>
      <c r="E706" s="41"/>
      <c r="F706" s="85"/>
    </row>
    <row r="707" ht="15.75" customHeight="1">
      <c r="A707" s="41"/>
      <c r="E707" s="41"/>
      <c r="F707" s="85"/>
    </row>
    <row r="708" ht="15.75" customHeight="1">
      <c r="A708" s="41"/>
      <c r="E708" s="41"/>
      <c r="F708" s="85"/>
    </row>
    <row r="709" ht="15.75" customHeight="1">
      <c r="A709" s="41"/>
      <c r="E709" s="41"/>
      <c r="F709" s="85"/>
    </row>
    <row r="710" ht="15.75" customHeight="1">
      <c r="A710" s="41"/>
      <c r="E710" s="41"/>
      <c r="F710" s="85"/>
    </row>
    <row r="711" ht="15.75" customHeight="1">
      <c r="A711" s="41"/>
      <c r="E711" s="41"/>
      <c r="F711" s="85"/>
    </row>
    <row r="712" ht="15.75" customHeight="1">
      <c r="A712" s="41"/>
      <c r="E712" s="41"/>
      <c r="F712" s="85"/>
    </row>
    <row r="713" ht="15.75" customHeight="1">
      <c r="A713" s="41"/>
      <c r="E713" s="41"/>
      <c r="F713" s="85"/>
    </row>
    <row r="714" ht="15.75" customHeight="1">
      <c r="A714" s="41"/>
      <c r="E714" s="41"/>
      <c r="F714" s="85"/>
    </row>
    <row r="715" ht="15.75" customHeight="1">
      <c r="A715" s="41"/>
      <c r="E715" s="41"/>
      <c r="F715" s="85"/>
    </row>
    <row r="716" ht="15.75" customHeight="1">
      <c r="A716" s="41"/>
      <c r="E716" s="41"/>
      <c r="F716" s="85"/>
    </row>
    <row r="717" ht="15.75" customHeight="1">
      <c r="A717" s="41"/>
      <c r="E717" s="41"/>
      <c r="F717" s="85"/>
    </row>
    <row r="718" ht="15.75" customHeight="1">
      <c r="A718" s="41"/>
      <c r="E718" s="41"/>
      <c r="F718" s="85"/>
    </row>
    <row r="719" ht="15.75" customHeight="1">
      <c r="A719" s="41"/>
      <c r="E719" s="41"/>
      <c r="F719" s="85"/>
    </row>
    <row r="720" ht="15.75" customHeight="1">
      <c r="A720" s="41"/>
      <c r="E720" s="41"/>
      <c r="F720" s="85"/>
    </row>
    <row r="721" ht="15.75" customHeight="1">
      <c r="A721" s="41"/>
      <c r="E721" s="41"/>
      <c r="F721" s="85"/>
    </row>
    <row r="722" ht="15.75" customHeight="1">
      <c r="A722" s="41"/>
      <c r="E722" s="41"/>
      <c r="F722" s="85"/>
    </row>
    <row r="723" ht="15.75" customHeight="1">
      <c r="A723" s="41"/>
      <c r="E723" s="41"/>
      <c r="F723" s="85"/>
    </row>
    <row r="724" ht="15.75" customHeight="1">
      <c r="A724" s="41"/>
      <c r="E724" s="41"/>
      <c r="F724" s="85"/>
    </row>
    <row r="725" ht="15.75" customHeight="1">
      <c r="A725" s="41"/>
      <c r="E725" s="41"/>
      <c r="F725" s="85"/>
    </row>
    <row r="726" ht="15.75" customHeight="1">
      <c r="A726" s="41"/>
      <c r="E726" s="41"/>
      <c r="F726" s="85"/>
    </row>
    <row r="727" ht="15.75" customHeight="1">
      <c r="A727" s="41"/>
      <c r="E727" s="41"/>
      <c r="F727" s="85"/>
    </row>
    <row r="728" ht="15.75" customHeight="1">
      <c r="A728" s="41"/>
      <c r="E728" s="41"/>
      <c r="F728" s="85"/>
    </row>
    <row r="729" ht="15.75" customHeight="1">
      <c r="A729" s="41"/>
      <c r="E729" s="41"/>
      <c r="F729" s="85"/>
    </row>
    <row r="730" ht="15.75" customHeight="1">
      <c r="A730" s="41"/>
      <c r="E730" s="41"/>
      <c r="F730" s="85"/>
    </row>
    <row r="731" ht="15.75" customHeight="1">
      <c r="A731" s="41"/>
      <c r="E731" s="41"/>
      <c r="F731" s="85"/>
    </row>
    <row r="732" ht="15.75" customHeight="1">
      <c r="A732" s="41"/>
      <c r="E732" s="41"/>
      <c r="F732" s="85"/>
    </row>
    <row r="733" ht="15.75" customHeight="1">
      <c r="A733" s="41"/>
      <c r="E733" s="41"/>
      <c r="F733" s="85"/>
    </row>
    <row r="734" ht="15.75" customHeight="1">
      <c r="A734" s="41"/>
      <c r="E734" s="41"/>
      <c r="F734" s="85"/>
    </row>
    <row r="735" ht="15.75" customHeight="1">
      <c r="A735" s="41"/>
      <c r="E735" s="41"/>
      <c r="F735" s="85"/>
    </row>
    <row r="736" ht="15.75" customHeight="1">
      <c r="A736" s="41"/>
      <c r="E736" s="41"/>
      <c r="F736" s="85"/>
    </row>
    <row r="737" ht="15.75" customHeight="1">
      <c r="A737" s="41"/>
      <c r="E737" s="41"/>
      <c r="F737" s="85"/>
    </row>
    <row r="738" ht="15.75" customHeight="1">
      <c r="A738" s="41"/>
      <c r="E738" s="41"/>
      <c r="F738" s="85"/>
    </row>
    <row r="739" ht="15.75" customHeight="1">
      <c r="A739" s="41"/>
      <c r="E739" s="41"/>
      <c r="F739" s="85"/>
    </row>
    <row r="740" ht="15.75" customHeight="1">
      <c r="A740" s="41"/>
      <c r="E740" s="41"/>
      <c r="F740" s="85"/>
    </row>
    <row r="741" ht="15.75" customHeight="1">
      <c r="A741" s="41"/>
      <c r="E741" s="41"/>
      <c r="F741" s="85"/>
    </row>
    <row r="742" ht="15.75" customHeight="1">
      <c r="A742" s="41"/>
      <c r="E742" s="41"/>
      <c r="F742" s="85"/>
    </row>
    <row r="743" ht="15.75" customHeight="1">
      <c r="A743" s="41"/>
      <c r="E743" s="41"/>
      <c r="F743" s="85"/>
    </row>
    <row r="744" ht="15.75" customHeight="1">
      <c r="A744" s="41"/>
      <c r="E744" s="41"/>
      <c r="F744" s="85"/>
    </row>
    <row r="745" ht="15.75" customHeight="1">
      <c r="A745" s="41"/>
      <c r="E745" s="41"/>
      <c r="F745" s="85"/>
    </row>
    <row r="746" ht="15.75" customHeight="1">
      <c r="A746" s="41"/>
      <c r="E746" s="41"/>
      <c r="F746" s="85"/>
    </row>
    <row r="747" ht="15.75" customHeight="1">
      <c r="A747" s="41"/>
      <c r="E747" s="41"/>
      <c r="F747" s="85"/>
    </row>
    <row r="748" ht="15.75" customHeight="1">
      <c r="A748" s="41"/>
      <c r="E748" s="41"/>
      <c r="F748" s="85"/>
    </row>
    <row r="749" ht="15.75" customHeight="1">
      <c r="A749" s="41"/>
      <c r="E749" s="41"/>
      <c r="F749" s="85"/>
    </row>
    <row r="750" ht="15.75" customHeight="1">
      <c r="A750" s="41"/>
      <c r="E750" s="41"/>
      <c r="F750" s="85"/>
    </row>
    <row r="751" ht="15.75" customHeight="1">
      <c r="A751" s="41"/>
      <c r="E751" s="41"/>
      <c r="F751" s="85"/>
    </row>
    <row r="752" ht="15.75" customHeight="1">
      <c r="A752" s="41"/>
      <c r="E752" s="41"/>
      <c r="F752" s="85"/>
    </row>
    <row r="753" ht="15.75" customHeight="1">
      <c r="A753" s="41"/>
      <c r="E753" s="41"/>
      <c r="F753" s="85"/>
    </row>
    <row r="754" ht="15.75" customHeight="1">
      <c r="A754" s="41"/>
      <c r="E754" s="41"/>
      <c r="F754" s="85"/>
    </row>
    <row r="755" ht="15.75" customHeight="1">
      <c r="A755" s="41"/>
      <c r="E755" s="41"/>
      <c r="F755" s="85"/>
    </row>
    <row r="756" ht="15.75" customHeight="1">
      <c r="A756" s="41"/>
      <c r="E756" s="41"/>
      <c r="F756" s="85"/>
    </row>
    <row r="757" ht="15.75" customHeight="1">
      <c r="A757" s="41"/>
      <c r="E757" s="41"/>
      <c r="F757" s="85"/>
    </row>
    <row r="758" ht="15.75" customHeight="1">
      <c r="A758" s="41"/>
      <c r="E758" s="41"/>
      <c r="F758" s="85"/>
    </row>
    <row r="759" ht="15.75" customHeight="1">
      <c r="A759" s="41"/>
      <c r="E759" s="41"/>
      <c r="F759" s="85"/>
    </row>
    <row r="760" ht="15.75" customHeight="1">
      <c r="A760" s="41"/>
      <c r="E760" s="41"/>
      <c r="F760" s="85"/>
    </row>
    <row r="761" ht="15.75" customHeight="1">
      <c r="A761" s="41"/>
      <c r="E761" s="41"/>
      <c r="F761" s="85"/>
    </row>
    <row r="762" ht="15.75" customHeight="1">
      <c r="A762" s="41"/>
      <c r="E762" s="41"/>
      <c r="F762" s="85"/>
    </row>
    <row r="763" ht="15.75" customHeight="1">
      <c r="A763" s="41"/>
      <c r="E763" s="41"/>
      <c r="F763" s="85"/>
    </row>
    <row r="764" ht="15.75" customHeight="1">
      <c r="A764" s="41"/>
      <c r="E764" s="41"/>
      <c r="F764" s="85"/>
    </row>
    <row r="765" ht="15.75" customHeight="1">
      <c r="A765" s="41"/>
      <c r="E765" s="41"/>
      <c r="F765" s="85"/>
    </row>
    <row r="766" ht="15.75" customHeight="1">
      <c r="A766" s="41"/>
      <c r="E766" s="41"/>
      <c r="F766" s="85"/>
    </row>
    <row r="767" ht="15.75" customHeight="1">
      <c r="A767" s="41"/>
      <c r="E767" s="41"/>
      <c r="F767" s="85"/>
    </row>
    <row r="768" ht="15.75" customHeight="1">
      <c r="A768" s="41"/>
      <c r="E768" s="41"/>
      <c r="F768" s="85"/>
    </row>
    <row r="769" ht="15.75" customHeight="1">
      <c r="A769" s="41"/>
      <c r="E769" s="41"/>
      <c r="F769" s="85"/>
    </row>
    <row r="770" ht="15.75" customHeight="1">
      <c r="A770" s="41"/>
      <c r="E770" s="41"/>
      <c r="F770" s="85"/>
    </row>
    <row r="771" ht="15.75" customHeight="1">
      <c r="A771" s="41"/>
      <c r="E771" s="41"/>
      <c r="F771" s="85"/>
    </row>
    <row r="772" ht="15.75" customHeight="1">
      <c r="A772" s="41"/>
      <c r="E772" s="41"/>
      <c r="F772" s="85"/>
    </row>
    <row r="773" ht="15.75" customHeight="1">
      <c r="A773" s="41"/>
      <c r="E773" s="41"/>
      <c r="F773" s="85"/>
    </row>
    <row r="774" ht="15.75" customHeight="1">
      <c r="A774" s="41"/>
      <c r="E774" s="41"/>
      <c r="F774" s="85"/>
    </row>
    <row r="775" ht="15.75" customHeight="1">
      <c r="A775" s="41"/>
      <c r="E775" s="41"/>
      <c r="F775" s="85"/>
    </row>
    <row r="776" ht="15.75" customHeight="1">
      <c r="A776" s="41"/>
      <c r="E776" s="41"/>
      <c r="F776" s="85"/>
    </row>
    <row r="777" ht="15.75" customHeight="1">
      <c r="A777" s="41"/>
      <c r="E777" s="41"/>
      <c r="F777" s="85"/>
    </row>
    <row r="778" ht="15.75" customHeight="1">
      <c r="A778" s="41"/>
      <c r="E778" s="41"/>
      <c r="F778" s="85"/>
    </row>
    <row r="779" ht="15.75" customHeight="1">
      <c r="A779" s="41"/>
      <c r="E779" s="41"/>
      <c r="F779" s="85"/>
    </row>
    <row r="780" ht="15.75" customHeight="1">
      <c r="A780" s="41"/>
      <c r="E780" s="41"/>
      <c r="F780" s="85"/>
    </row>
    <row r="781" ht="15.75" customHeight="1">
      <c r="A781" s="41"/>
      <c r="E781" s="41"/>
      <c r="F781" s="85"/>
    </row>
    <row r="782" ht="15.75" customHeight="1">
      <c r="A782" s="41"/>
      <c r="E782" s="41"/>
      <c r="F782" s="85"/>
    </row>
    <row r="783" ht="15.75" customHeight="1">
      <c r="A783" s="41"/>
      <c r="E783" s="41"/>
      <c r="F783" s="85"/>
    </row>
    <row r="784" ht="15.75" customHeight="1">
      <c r="A784" s="41"/>
      <c r="E784" s="41"/>
      <c r="F784" s="85"/>
    </row>
    <row r="785" ht="15.75" customHeight="1">
      <c r="A785" s="41"/>
      <c r="E785" s="41"/>
      <c r="F785" s="85"/>
    </row>
    <row r="786" ht="15.75" customHeight="1">
      <c r="A786" s="41"/>
      <c r="E786" s="41"/>
      <c r="F786" s="85"/>
    </row>
    <row r="787" ht="15.75" customHeight="1">
      <c r="A787" s="41"/>
      <c r="E787" s="41"/>
      <c r="F787" s="85"/>
    </row>
    <row r="788" ht="15.75" customHeight="1">
      <c r="A788" s="41"/>
      <c r="E788" s="41"/>
      <c r="F788" s="85"/>
    </row>
    <row r="789" ht="15.75" customHeight="1">
      <c r="A789" s="41"/>
      <c r="E789" s="41"/>
      <c r="F789" s="85"/>
    </row>
    <row r="790" ht="15.75" customHeight="1">
      <c r="A790" s="41"/>
      <c r="E790" s="41"/>
      <c r="F790" s="85"/>
    </row>
    <row r="791" ht="15.75" customHeight="1">
      <c r="A791" s="41"/>
      <c r="E791" s="41"/>
      <c r="F791" s="85"/>
    </row>
    <row r="792" ht="15.75" customHeight="1">
      <c r="A792" s="41"/>
      <c r="E792" s="41"/>
      <c r="F792" s="85"/>
    </row>
    <row r="793" ht="15.75" customHeight="1">
      <c r="A793" s="41"/>
      <c r="E793" s="41"/>
      <c r="F793" s="85"/>
    </row>
    <row r="794" ht="15.75" customHeight="1">
      <c r="A794" s="41"/>
      <c r="E794" s="41"/>
      <c r="F794" s="85"/>
    </row>
    <row r="795" ht="15.75" customHeight="1">
      <c r="A795" s="41"/>
      <c r="E795" s="41"/>
      <c r="F795" s="85"/>
    </row>
    <row r="796" ht="15.75" customHeight="1">
      <c r="A796" s="41"/>
      <c r="E796" s="41"/>
      <c r="F796" s="85"/>
    </row>
    <row r="797" ht="15.75" customHeight="1">
      <c r="A797" s="41"/>
      <c r="E797" s="41"/>
      <c r="F797" s="85"/>
    </row>
    <row r="798" ht="15.75" customHeight="1">
      <c r="A798" s="41"/>
      <c r="E798" s="41"/>
      <c r="F798" s="85"/>
    </row>
    <row r="799" ht="15.75" customHeight="1">
      <c r="A799" s="41"/>
      <c r="E799" s="41"/>
      <c r="F799" s="85"/>
    </row>
    <row r="800" ht="15.75" customHeight="1">
      <c r="A800" s="41"/>
      <c r="E800" s="41"/>
      <c r="F800" s="85"/>
    </row>
    <row r="801" ht="15.75" customHeight="1">
      <c r="A801" s="41"/>
      <c r="E801" s="41"/>
      <c r="F801" s="85"/>
    </row>
    <row r="802" ht="15.75" customHeight="1">
      <c r="A802" s="41"/>
      <c r="E802" s="41"/>
      <c r="F802" s="85"/>
    </row>
    <row r="803" ht="15.75" customHeight="1">
      <c r="A803" s="41"/>
      <c r="E803" s="41"/>
      <c r="F803" s="85"/>
    </row>
    <row r="804" ht="15.75" customHeight="1">
      <c r="A804" s="41"/>
      <c r="E804" s="41"/>
      <c r="F804" s="85"/>
    </row>
    <row r="805" ht="15.75" customHeight="1">
      <c r="A805" s="41"/>
      <c r="E805" s="41"/>
      <c r="F805" s="85"/>
    </row>
    <row r="806" ht="15.75" customHeight="1">
      <c r="A806" s="41"/>
      <c r="E806" s="41"/>
      <c r="F806" s="85"/>
    </row>
    <row r="807" ht="15.75" customHeight="1">
      <c r="A807" s="41"/>
      <c r="E807" s="41"/>
      <c r="F807" s="85"/>
    </row>
    <row r="808" ht="15.75" customHeight="1">
      <c r="A808" s="41"/>
      <c r="E808" s="41"/>
      <c r="F808" s="85"/>
    </row>
    <row r="809" ht="15.75" customHeight="1">
      <c r="A809" s="41"/>
      <c r="E809" s="41"/>
      <c r="F809" s="85"/>
    </row>
    <row r="810" ht="15.75" customHeight="1">
      <c r="A810" s="41"/>
      <c r="E810" s="41"/>
      <c r="F810" s="85"/>
    </row>
    <row r="811" ht="15.75" customHeight="1">
      <c r="A811" s="41"/>
      <c r="E811" s="41"/>
      <c r="F811" s="85"/>
    </row>
    <row r="812" ht="15.75" customHeight="1">
      <c r="A812" s="41"/>
      <c r="E812" s="41"/>
      <c r="F812" s="85"/>
    </row>
    <row r="813" ht="15.75" customHeight="1">
      <c r="A813" s="41"/>
      <c r="E813" s="41"/>
      <c r="F813" s="85"/>
    </row>
    <row r="814" ht="15.75" customHeight="1">
      <c r="A814" s="41"/>
      <c r="E814" s="41"/>
      <c r="F814" s="85"/>
    </row>
    <row r="815" ht="15.75" customHeight="1">
      <c r="A815" s="41"/>
      <c r="E815" s="41"/>
      <c r="F815" s="85"/>
    </row>
    <row r="816" ht="15.75" customHeight="1">
      <c r="A816" s="41"/>
      <c r="E816" s="41"/>
      <c r="F816" s="85"/>
    </row>
    <row r="817" ht="15.75" customHeight="1">
      <c r="A817" s="41"/>
      <c r="E817" s="41"/>
      <c r="F817" s="85"/>
    </row>
    <row r="818" ht="15.75" customHeight="1">
      <c r="A818" s="41"/>
      <c r="E818" s="41"/>
      <c r="F818" s="85"/>
    </row>
    <row r="819" ht="15.75" customHeight="1">
      <c r="A819" s="41"/>
      <c r="E819" s="41"/>
      <c r="F819" s="85"/>
    </row>
    <row r="820" ht="15.75" customHeight="1">
      <c r="A820" s="41"/>
      <c r="E820" s="41"/>
      <c r="F820" s="85"/>
    </row>
    <row r="821" ht="15.75" customHeight="1">
      <c r="A821" s="41"/>
      <c r="E821" s="41"/>
      <c r="F821" s="85"/>
    </row>
    <row r="822" ht="15.75" customHeight="1">
      <c r="A822" s="41"/>
      <c r="E822" s="41"/>
      <c r="F822" s="85"/>
    </row>
    <row r="823" ht="15.75" customHeight="1">
      <c r="A823" s="41"/>
      <c r="E823" s="41"/>
      <c r="F823" s="85"/>
    </row>
    <row r="824" ht="15.75" customHeight="1">
      <c r="A824" s="41"/>
      <c r="E824" s="41"/>
      <c r="F824" s="85"/>
    </row>
    <row r="825" ht="15.75" customHeight="1">
      <c r="A825" s="41"/>
      <c r="E825" s="41"/>
      <c r="F825" s="85"/>
    </row>
    <row r="826" ht="15.75" customHeight="1">
      <c r="A826" s="41"/>
      <c r="E826" s="41"/>
      <c r="F826" s="85"/>
    </row>
    <row r="827" ht="15.75" customHeight="1">
      <c r="A827" s="41"/>
      <c r="E827" s="41"/>
      <c r="F827" s="85"/>
    </row>
    <row r="828" ht="15.75" customHeight="1">
      <c r="A828" s="41"/>
      <c r="E828" s="41"/>
      <c r="F828" s="85"/>
    </row>
    <row r="829" ht="15.75" customHeight="1">
      <c r="A829" s="41"/>
      <c r="E829" s="41"/>
      <c r="F829" s="85"/>
    </row>
    <row r="830" ht="15.75" customHeight="1">
      <c r="A830" s="41"/>
      <c r="E830" s="41"/>
      <c r="F830" s="85"/>
    </row>
    <row r="831" ht="15.75" customHeight="1">
      <c r="A831" s="41"/>
      <c r="E831" s="41"/>
      <c r="F831" s="85"/>
    </row>
    <row r="832" ht="15.75" customHeight="1">
      <c r="A832" s="41"/>
      <c r="E832" s="41"/>
      <c r="F832" s="85"/>
    </row>
    <row r="833" ht="15.75" customHeight="1">
      <c r="A833" s="41"/>
      <c r="E833" s="41"/>
      <c r="F833" s="85"/>
    </row>
    <row r="834" ht="15.75" customHeight="1">
      <c r="A834" s="41"/>
      <c r="E834" s="41"/>
      <c r="F834" s="85"/>
    </row>
    <row r="835" ht="15.75" customHeight="1">
      <c r="A835" s="41"/>
      <c r="E835" s="41"/>
      <c r="F835" s="85"/>
    </row>
    <row r="836" ht="15.75" customHeight="1">
      <c r="A836" s="41"/>
      <c r="E836" s="41"/>
      <c r="F836" s="85"/>
    </row>
    <row r="837" ht="15.75" customHeight="1">
      <c r="A837" s="41"/>
      <c r="E837" s="41"/>
      <c r="F837" s="85"/>
    </row>
    <row r="838" ht="15.75" customHeight="1">
      <c r="A838" s="41"/>
      <c r="E838" s="41"/>
      <c r="F838" s="85"/>
    </row>
    <row r="839" ht="15.75" customHeight="1">
      <c r="A839" s="41"/>
      <c r="E839" s="41"/>
      <c r="F839" s="85"/>
    </row>
    <row r="840" ht="15.75" customHeight="1">
      <c r="A840" s="41"/>
      <c r="E840" s="41"/>
      <c r="F840" s="85"/>
    </row>
    <row r="841" ht="15.75" customHeight="1">
      <c r="A841" s="41"/>
      <c r="E841" s="41"/>
      <c r="F841" s="85"/>
    </row>
    <row r="842" ht="15.75" customHeight="1">
      <c r="A842" s="41"/>
      <c r="E842" s="41"/>
      <c r="F842" s="85"/>
    </row>
    <row r="843" ht="15.75" customHeight="1">
      <c r="A843" s="41"/>
      <c r="E843" s="41"/>
      <c r="F843" s="85"/>
    </row>
    <row r="844" ht="15.75" customHeight="1">
      <c r="A844" s="41"/>
      <c r="E844" s="41"/>
      <c r="F844" s="85"/>
    </row>
    <row r="845" ht="15.75" customHeight="1">
      <c r="A845" s="41"/>
      <c r="E845" s="41"/>
      <c r="F845" s="85"/>
    </row>
    <row r="846" ht="15.75" customHeight="1">
      <c r="A846" s="41"/>
      <c r="E846" s="41"/>
      <c r="F846" s="85"/>
    </row>
    <row r="847" ht="15.75" customHeight="1">
      <c r="A847" s="41"/>
      <c r="E847" s="41"/>
      <c r="F847" s="85"/>
    </row>
    <row r="848" ht="15.75" customHeight="1">
      <c r="A848" s="41"/>
      <c r="E848" s="41"/>
      <c r="F848" s="85"/>
    </row>
    <row r="849" ht="15.75" customHeight="1">
      <c r="A849" s="41"/>
      <c r="E849" s="41"/>
      <c r="F849" s="85"/>
    </row>
    <row r="850" ht="15.75" customHeight="1">
      <c r="A850" s="41"/>
      <c r="E850" s="41"/>
      <c r="F850" s="85"/>
    </row>
    <row r="851" ht="15.75" customHeight="1">
      <c r="A851" s="41"/>
      <c r="E851" s="41"/>
      <c r="F851" s="85"/>
    </row>
    <row r="852" ht="15.75" customHeight="1">
      <c r="A852" s="41"/>
      <c r="E852" s="41"/>
      <c r="F852" s="85"/>
    </row>
    <row r="853" ht="15.75" customHeight="1">
      <c r="A853" s="41"/>
      <c r="E853" s="41"/>
      <c r="F853" s="85"/>
    </row>
    <row r="854" ht="15.75" customHeight="1">
      <c r="A854" s="41"/>
      <c r="E854" s="41"/>
      <c r="F854" s="85"/>
    </row>
    <row r="855" ht="15.75" customHeight="1">
      <c r="A855" s="41"/>
      <c r="E855" s="41"/>
      <c r="F855" s="85"/>
    </row>
    <row r="856" ht="15.75" customHeight="1">
      <c r="A856" s="41"/>
      <c r="E856" s="41"/>
      <c r="F856" s="85"/>
    </row>
    <row r="857" ht="15.75" customHeight="1">
      <c r="A857" s="41"/>
      <c r="E857" s="41"/>
      <c r="F857" s="85"/>
    </row>
    <row r="858" ht="15.75" customHeight="1">
      <c r="A858" s="41"/>
      <c r="E858" s="41"/>
      <c r="F858" s="85"/>
    </row>
    <row r="859" ht="15.75" customHeight="1">
      <c r="A859" s="41"/>
      <c r="E859" s="41"/>
      <c r="F859" s="85"/>
    </row>
    <row r="860" ht="15.75" customHeight="1">
      <c r="A860" s="41"/>
      <c r="E860" s="41"/>
      <c r="F860" s="85"/>
    </row>
    <row r="861" ht="15.75" customHeight="1">
      <c r="A861" s="41"/>
      <c r="E861" s="41"/>
      <c r="F861" s="85"/>
    </row>
    <row r="862" ht="15.75" customHeight="1">
      <c r="A862" s="41"/>
      <c r="E862" s="41"/>
      <c r="F862" s="85"/>
    </row>
    <row r="863" ht="15.75" customHeight="1">
      <c r="A863" s="41"/>
      <c r="E863" s="41"/>
      <c r="F863" s="85"/>
    </row>
    <row r="864" ht="15.75" customHeight="1">
      <c r="A864" s="41"/>
      <c r="E864" s="41"/>
      <c r="F864" s="85"/>
    </row>
    <row r="865" ht="15.75" customHeight="1">
      <c r="A865" s="41"/>
      <c r="E865" s="41"/>
      <c r="F865" s="85"/>
    </row>
    <row r="866" ht="15.75" customHeight="1">
      <c r="A866" s="41"/>
      <c r="E866" s="41"/>
      <c r="F866" s="85"/>
    </row>
    <row r="867" ht="15.75" customHeight="1">
      <c r="A867" s="41"/>
      <c r="E867" s="41"/>
      <c r="F867" s="85"/>
    </row>
    <row r="868" ht="15.75" customHeight="1">
      <c r="A868" s="41"/>
      <c r="E868" s="41"/>
      <c r="F868" s="85"/>
    </row>
    <row r="869" ht="15.75" customHeight="1">
      <c r="A869" s="41"/>
      <c r="E869" s="41"/>
      <c r="F869" s="85"/>
    </row>
    <row r="870" ht="15.75" customHeight="1">
      <c r="A870" s="41"/>
      <c r="E870" s="41"/>
      <c r="F870" s="85"/>
    </row>
    <row r="871" ht="15.75" customHeight="1">
      <c r="A871" s="41"/>
      <c r="E871" s="41"/>
      <c r="F871" s="85"/>
    </row>
    <row r="872" ht="15.75" customHeight="1">
      <c r="A872" s="41"/>
      <c r="E872" s="41"/>
      <c r="F872" s="85"/>
    </row>
    <row r="873" ht="15.75" customHeight="1">
      <c r="A873" s="41"/>
      <c r="E873" s="41"/>
      <c r="F873" s="85"/>
    </row>
    <row r="874" ht="15.75" customHeight="1">
      <c r="A874" s="41"/>
      <c r="E874" s="41"/>
      <c r="F874" s="85"/>
    </row>
    <row r="875" ht="15.75" customHeight="1">
      <c r="A875" s="41"/>
      <c r="E875" s="41"/>
      <c r="F875" s="85"/>
    </row>
    <row r="876" ht="15.75" customHeight="1">
      <c r="A876" s="41"/>
      <c r="E876" s="41"/>
      <c r="F876" s="85"/>
    </row>
    <row r="877" ht="15.75" customHeight="1">
      <c r="A877" s="41"/>
      <c r="E877" s="41"/>
      <c r="F877" s="85"/>
    </row>
    <row r="878" ht="15.75" customHeight="1">
      <c r="A878" s="41"/>
      <c r="E878" s="41"/>
      <c r="F878" s="85"/>
    </row>
    <row r="879" ht="15.75" customHeight="1">
      <c r="A879" s="41"/>
      <c r="E879" s="41"/>
      <c r="F879" s="85"/>
    </row>
    <row r="880" ht="15.75" customHeight="1">
      <c r="A880" s="41"/>
      <c r="E880" s="41"/>
      <c r="F880" s="85"/>
    </row>
    <row r="881" ht="15.75" customHeight="1">
      <c r="A881" s="41"/>
      <c r="E881" s="41"/>
      <c r="F881" s="85"/>
    </row>
    <row r="882" ht="15.75" customHeight="1">
      <c r="A882" s="41"/>
      <c r="E882" s="41"/>
      <c r="F882" s="85"/>
    </row>
    <row r="883" ht="15.75" customHeight="1">
      <c r="A883" s="41"/>
      <c r="E883" s="41"/>
      <c r="F883" s="85"/>
    </row>
    <row r="884" ht="15.75" customHeight="1">
      <c r="A884" s="41"/>
      <c r="E884" s="41"/>
      <c r="F884" s="85"/>
    </row>
    <row r="885" ht="15.75" customHeight="1">
      <c r="A885" s="41"/>
      <c r="E885" s="41"/>
      <c r="F885" s="85"/>
    </row>
    <row r="886" ht="15.75" customHeight="1">
      <c r="A886" s="41"/>
      <c r="E886" s="41"/>
      <c r="F886" s="85"/>
    </row>
    <row r="887" ht="15.75" customHeight="1">
      <c r="A887" s="41"/>
      <c r="E887" s="41"/>
      <c r="F887" s="85"/>
    </row>
    <row r="888" ht="15.75" customHeight="1">
      <c r="A888" s="41"/>
      <c r="E888" s="41"/>
      <c r="F888" s="85"/>
    </row>
    <row r="889" ht="15.75" customHeight="1">
      <c r="A889" s="41"/>
      <c r="E889" s="41"/>
      <c r="F889" s="85"/>
    </row>
    <row r="890" ht="15.75" customHeight="1">
      <c r="A890" s="41"/>
      <c r="E890" s="41"/>
      <c r="F890" s="85"/>
    </row>
    <row r="891" ht="15.75" customHeight="1">
      <c r="A891" s="41"/>
      <c r="E891" s="41"/>
      <c r="F891" s="85"/>
    </row>
    <row r="892" ht="15.75" customHeight="1">
      <c r="A892" s="41"/>
      <c r="E892" s="41"/>
      <c r="F892" s="85"/>
    </row>
    <row r="893" ht="15.75" customHeight="1">
      <c r="A893" s="41"/>
      <c r="E893" s="41"/>
      <c r="F893" s="85"/>
    </row>
    <row r="894" ht="15.75" customHeight="1">
      <c r="A894" s="41"/>
      <c r="E894" s="41"/>
      <c r="F894" s="85"/>
    </row>
    <row r="895" ht="15.75" customHeight="1">
      <c r="A895" s="41"/>
      <c r="E895" s="41"/>
      <c r="F895" s="85"/>
    </row>
    <row r="896" ht="15.75" customHeight="1">
      <c r="A896" s="41"/>
      <c r="E896" s="41"/>
      <c r="F896" s="85"/>
    </row>
    <row r="897" ht="15.75" customHeight="1">
      <c r="A897" s="41"/>
      <c r="E897" s="41"/>
      <c r="F897" s="85"/>
    </row>
    <row r="898" ht="15.75" customHeight="1">
      <c r="A898" s="41"/>
      <c r="E898" s="41"/>
      <c r="F898" s="85"/>
    </row>
    <row r="899" ht="15.75" customHeight="1">
      <c r="A899" s="41"/>
      <c r="E899" s="41"/>
      <c r="F899" s="85"/>
    </row>
    <row r="900" ht="15.75" customHeight="1">
      <c r="A900" s="41"/>
      <c r="E900" s="41"/>
      <c r="F900" s="85"/>
    </row>
    <row r="901" ht="15.75" customHeight="1">
      <c r="A901" s="41"/>
      <c r="E901" s="41"/>
      <c r="F901" s="85"/>
    </row>
    <row r="902" ht="15.75" customHeight="1">
      <c r="A902" s="41"/>
      <c r="E902" s="41"/>
      <c r="F902" s="85"/>
    </row>
    <row r="903" ht="15.75" customHeight="1">
      <c r="A903" s="41"/>
      <c r="E903" s="41"/>
      <c r="F903" s="85"/>
    </row>
    <row r="904" ht="15.75" customHeight="1">
      <c r="A904" s="41"/>
      <c r="E904" s="41"/>
      <c r="F904" s="85"/>
    </row>
    <row r="905" ht="15.75" customHeight="1">
      <c r="A905" s="41"/>
      <c r="E905" s="41"/>
      <c r="F905" s="85"/>
    </row>
    <row r="906" ht="15.75" customHeight="1">
      <c r="A906" s="41"/>
      <c r="E906" s="41"/>
      <c r="F906" s="85"/>
    </row>
    <row r="907" ht="15.75" customHeight="1">
      <c r="A907" s="41"/>
      <c r="E907" s="41"/>
      <c r="F907" s="85"/>
    </row>
    <row r="908" ht="15.75" customHeight="1">
      <c r="A908" s="41"/>
      <c r="E908" s="41"/>
      <c r="F908" s="85"/>
    </row>
    <row r="909" ht="15.75" customHeight="1">
      <c r="A909" s="41"/>
      <c r="E909" s="41"/>
      <c r="F909" s="85"/>
    </row>
    <row r="910" ht="15.75" customHeight="1">
      <c r="A910" s="41"/>
      <c r="E910" s="41"/>
      <c r="F910" s="85"/>
    </row>
    <row r="911" ht="15.75" customHeight="1">
      <c r="A911" s="41"/>
      <c r="E911" s="41"/>
      <c r="F911" s="85"/>
    </row>
    <row r="912" ht="15.75" customHeight="1">
      <c r="A912" s="41"/>
      <c r="E912" s="41"/>
      <c r="F912" s="85"/>
    </row>
    <row r="913" ht="15.75" customHeight="1">
      <c r="A913" s="41"/>
      <c r="E913" s="41"/>
      <c r="F913" s="85"/>
    </row>
    <row r="914" ht="15.75" customHeight="1">
      <c r="A914" s="41"/>
      <c r="E914" s="41"/>
      <c r="F914" s="85"/>
    </row>
    <row r="915" ht="15.75" customHeight="1">
      <c r="A915" s="41"/>
      <c r="E915" s="41"/>
      <c r="F915" s="85"/>
    </row>
    <row r="916" ht="15.75" customHeight="1">
      <c r="A916" s="41"/>
      <c r="E916" s="41"/>
      <c r="F916" s="85"/>
    </row>
    <row r="917" ht="15.75" customHeight="1">
      <c r="A917" s="41"/>
      <c r="E917" s="41"/>
      <c r="F917" s="85"/>
    </row>
    <row r="918" ht="15.75" customHeight="1">
      <c r="A918" s="41"/>
      <c r="E918" s="41"/>
      <c r="F918" s="85"/>
    </row>
    <row r="919" ht="15.75" customHeight="1">
      <c r="A919" s="41"/>
      <c r="E919" s="41"/>
      <c r="F919" s="85"/>
    </row>
    <row r="920" ht="15.75" customHeight="1">
      <c r="A920" s="41"/>
      <c r="E920" s="41"/>
      <c r="F920" s="85"/>
    </row>
    <row r="921" ht="15.75" customHeight="1">
      <c r="A921" s="41"/>
      <c r="E921" s="41"/>
      <c r="F921" s="85"/>
    </row>
    <row r="922" ht="15.75" customHeight="1">
      <c r="A922" s="41"/>
      <c r="E922" s="41"/>
      <c r="F922" s="85"/>
    </row>
    <row r="923" ht="15.75" customHeight="1">
      <c r="A923" s="41"/>
      <c r="E923" s="41"/>
      <c r="F923" s="85"/>
    </row>
    <row r="924" ht="15.75" customHeight="1">
      <c r="A924" s="41"/>
      <c r="E924" s="41"/>
      <c r="F924" s="85"/>
    </row>
    <row r="925" ht="15.75" customHeight="1">
      <c r="A925" s="41"/>
      <c r="E925" s="41"/>
      <c r="F925" s="85"/>
    </row>
    <row r="926" ht="15.75" customHeight="1">
      <c r="A926" s="41"/>
      <c r="E926" s="41"/>
      <c r="F926" s="85"/>
    </row>
    <row r="927" ht="15.75" customHeight="1">
      <c r="A927" s="41"/>
      <c r="E927" s="41"/>
      <c r="F927" s="85"/>
    </row>
    <row r="928" ht="15.75" customHeight="1">
      <c r="A928" s="41"/>
      <c r="E928" s="41"/>
      <c r="F928" s="85"/>
    </row>
    <row r="929" ht="15.75" customHeight="1">
      <c r="A929" s="41"/>
      <c r="E929" s="41"/>
      <c r="F929" s="85"/>
    </row>
    <row r="930" ht="15.75" customHeight="1">
      <c r="A930" s="41"/>
      <c r="E930" s="41"/>
      <c r="F930" s="85"/>
    </row>
    <row r="931" ht="15.75" customHeight="1">
      <c r="A931" s="41"/>
      <c r="E931" s="41"/>
      <c r="F931" s="85"/>
    </row>
    <row r="932" ht="15.75" customHeight="1">
      <c r="A932" s="41"/>
      <c r="E932" s="41"/>
      <c r="F932" s="85"/>
    </row>
    <row r="933" ht="15.75" customHeight="1">
      <c r="A933" s="41"/>
      <c r="E933" s="41"/>
      <c r="F933" s="85"/>
    </row>
    <row r="934" ht="15.75" customHeight="1">
      <c r="A934" s="41"/>
      <c r="E934" s="41"/>
      <c r="F934" s="85"/>
    </row>
    <row r="935" ht="15.75" customHeight="1">
      <c r="A935" s="41"/>
      <c r="E935" s="41"/>
      <c r="F935" s="85"/>
    </row>
    <row r="936" ht="15.75" customHeight="1">
      <c r="A936" s="41"/>
      <c r="E936" s="41"/>
      <c r="F936" s="85"/>
    </row>
    <row r="937" ht="15.75" customHeight="1">
      <c r="A937" s="41"/>
      <c r="E937" s="41"/>
      <c r="F937" s="85"/>
    </row>
    <row r="938" ht="15.75" customHeight="1">
      <c r="A938" s="41"/>
      <c r="E938" s="41"/>
      <c r="F938" s="85"/>
    </row>
    <row r="939" ht="15.75" customHeight="1">
      <c r="A939" s="41"/>
      <c r="E939" s="41"/>
      <c r="F939" s="85"/>
    </row>
    <row r="940" ht="15.75" customHeight="1">
      <c r="A940" s="41"/>
      <c r="E940" s="41"/>
      <c r="F940" s="85"/>
    </row>
    <row r="941" ht="15.75" customHeight="1">
      <c r="A941" s="41"/>
      <c r="E941" s="41"/>
      <c r="F941" s="85"/>
    </row>
    <row r="942" ht="15.75" customHeight="1">
      <c r="A942" s="41"/>
      <c r="E942" s="41"/>
      <c r="F942" s="85"/>
    </row>
    <row r="943" ht="15.75" customHeight="1">
      <c r="A943" s="41"/>
      <c r="E943" s="41"/>
      <c r="F943" s="85"/>
    </row>
    <row r="944" ht="15.75" customHeight="1">
      <c r="A944" s="41"/>
      <c r="E944" s="41"/>
      <c r="F944" s="85"/>
    </row>
    <row r="945" ht="15.75" customHeight="1">
      <c r="A945" s="41"/>
      <c r="E945" s="41"/>
      <c r="F945" s="85"/>
    </row>
    <row r="946" ht="15.75" customHeight="1">
      <c r="A946" s="41"/>
      <c r="E946" s="41"/>
      <c r="F946" s="85"/>
    </row>
    <row r="947" ht="15.75" customHeight="1">
      <c r="A947" s="41"/>
      <c r="E947" s="41"/>
      <c r="F947" s="85"/>
    </row>
    <row r="948" ht="15.75" customHeight="1">
      <c r="A948" s="41"/>
      <c r="E948" s="41"/>
      <c r="F948" s="85"/>
    </row>
    <row r="949" ht="15.75" customHeight="1">
      <c r="A949" s="41"/>
      <c r="E949" s="41"/>
      <c r="F949" s="85"/>
    </row>
    <row r="950" ht="15.75" customHeight="1">
      <c r="A950" s="41"/>
      <c r="E950" s="41"/>
      <c r="F950" s="85"/>
    </row>
    <row r="951" ht="15.75" customHeight="1">
      <c r="A951" s="41"/>
      <c r="E951" s="41"/>
      <c r="F951" s="85"/>
    </row>
    <row r="952" ht="15.75" customHeight="1">
      <c r="A952" s="41"/>
      <c r="E952" s="41"/>
      <c r="F952" s="85"/>
    </row>
    <row r="953" ht="15.75" customHeight="1">
      <c r="A953" s="41"/>
      <c r="E953" s="41"/>
      <c r="F953" s="85"/>
    </row>
    <row r="954" ht="15.75" customHeight="1">
      <c r="A954" s="41"/>
      <c r="E954" s="41"/>
      <c r="F954" s="85"/>
    </row>
    <row r="955" ht="15.75" customHeight="1">
      <c r="A955" s="41"/>
      <c r="E955" s="41"/>
      <c r="F955" s="85"/>
    </row>
    <row r="956" ht="15.75" customHeight="1">
      <c r="A956" s="41"/>
      <c r="E956" s="41"/>
      <c r="F956" s="85"/>
    </row>
    <row r="957" ht="15.75" customHeight="1">
      <c r="A957" s="41"/>
      <c r="E957" s="41"/>
      <c r="F957" s="85"/>
    </row>
    <row r="958" ht="15.75" customHeight="1">
      <c r="A958" s="41"/>
      <c r="E958" s="41"/>
      <c r="F958" s="85"/>
    </row>
    <row r="959" ht="15.75" customHeight="1">
      <c r="A959" s="41"/>
      <c r="E959" s="41"/>
      <c r="F959" s="85"/>
    </row>
    <row r="960" ht="15.75" customHeight="1">
      <c r="A960" s="41"/>
      <c r="E960" s="41"/>
      <c r="F960" s="85"/>
    </row>
    <row r="961" ht="15.75" customHeight="1">
      <c r="A961" s="41"/>
      <c r="E961" s="41"/>
      <c r="F961" s="85"/>
    </row>
    <row r="962" ht="15.75" customHeight="1">
      <c r="A962" s="41"/>
      <c r="E962" s="41"/>
      <c r="F962" s="85"/>
    </row>
    <row r="963" ht="15.75" customHeight="1">
      <c r="A963" s="41"/>
      <c r="E963" s="41"/>
      <c r="F963" s="85"/>
    </row>
    <row r="964" ht="15.75" customHeight="1">
      <c r="A964" s="41"/>
      <c r="E964" s="41"/>
      <c r="F964" s="85"/>
    </row>
    <row r="965" ht="15.75" customHeight="1">
      <c r="A965" s="41"/>
      <c r="E965" s="41"/>
      <c r="F965" s="85"/>
    </row>
    <row r="966" ht="15.75" customHeight="1">
      <c r="A966" s="41"/>
      <c r="E966" s="41"/>
      <c r="F966" s="85"/>
    </row>
    <row r="967" ht="15.75" customHeight="1">
      <c r="A967" s="41"/>
      <c r="E967" s="41"/>
      <c r="F967" s="85"/>
    </row>
    <row r="968" ht="15.75" customHeight="1">
      <c r="A968" s="41"/>
      <c r="E968" s="41"/>
      <c r="F968" s="85"/>
    </row>
    <row r="969" ht="15.75" customHeight="1">
      <c r="A969" s="41"/>
      <c r="E969" s="41"/>
      <c r="F969" s="85"/>
    </row>
    <row r="970" ht="15.75" customHeight="1">
      <c r="A970" s="41"/>
      <c r="E970" s="41"/>
      <c r="F970" s="85"/>
    </row>
    <row r="971" ht="15.75" customHeight="1">
      <c r="A971" s="41"/>
      <c r="E971" s="41"/>
      <c r="F971" s="85"/>
    </row>
    <row r="972" ht="15.75" customHeight="1">
      <c r="A972" s="41"/>
      <c r="E972" s="41"/>
      <c r="F972" s="85"/>
    </row>
    <row r="973" ht="15.75" customHeight="1">
      <c r="A973" s="41"/>
      <c r="E973" s="41"/>
      <c r="F973" s="85"/>
    </row>
    <row r="974" ht="15.75" customHeight="1">
      <c r="A974" s="41"/>
      <c r="E974" s="41"/>
      <c r="F974" s="85"/>
    </row>
    <row r="975" ht="15.75" customHeight="1">
      <c r="A975" s="41"/>
      <c r="E975" s="41"/>
      <c r="F975" s="85"/>
    </row>
    <row r="976" ht="15.75" customHeight="1">
      <c r="A976" s="41"/>
      <c r="E976" s="41"/>
      <c r="F976" s="85"/>
    </row>
    <row r="977" ht="15.75" customHeight="1">
      <c r="A977" s="41"/>
      <c r="E977" s="41"/>
      <c r="F977" s="85"/>
    </row>
    <row r="978" ht="15.75" customHeight="1">
      <c r="A978" s="41"/>
      <c r="E978" s="41"/>
      <c r="F978" s="85"/>
    </row>
    <row r="979" ht="15.75" customHeight="1">
      <c r="A979" s="41"/>
      <c r="E979" s="41"/>
      <c r="F979" s="85"/>
    </row>
    <row r="980" ht="15.75" customHeight="1">
      <c r="A980" s="41"/>
      <c r="E980" s="41"/>
      <c r="F980" s="85"/>
    </row>
    <row r="981" ht="15.75" customHeight="1">
      <c r="A981" s="41"/>
      <c r="E981" s="41"/>
      <c r="F981" s="85"/>
    </row>
    <row r="982" ht="15.75" customHeight="1">
      <c r="A982" s="41"/>
      <c r="E982" s="41"/>
      <c r="F982" s="85"/>
    </row>
    <row r="983" ht="15.75" customHeight="1">
      <c r="A983" s="41"/>
      <c r="E983" s="41"/>
      <c r="F983" s="85"/>
    </row>
    <row r="984" ht="15.75" customHeight="1">
      <c r="A984" s="41"/>
      <c r="E984" s="41"/>
      <c r="F984" s="85"/>
    </row>
    <row r="985" ht="15.75" customHeight="1">
      <c r="A985" s="41"/>
      <c r="E985" s="41"/>
      <c r="F985" s="85"/>
    </row>
    <row r="986" ht="15.75" customHeight="1">
      <c r="A986" s="41"/>
      <c r="E986" s="41"/>
      <c r="F986" s="85"/>
    </row>
    <row r="987" ht="15.75" customHeight="1">
      <c r="A987" s="41"/>
      <c r="E987" s="41"/>
      <c r="F987" s="85"/>
    </row>
    <row r="988" ht="15.75" customHeight="1">
      <c r="A988" s="41"/>
      <c r="E988" s="41"/>
      <c r="F988" s="85"/>
    </row>
    <row r="989" ht="15.75" customHeight="1">
      <c r="A989" s="41"/>
      <c r="E989" s="41"/>
      <c r="F989" s="85"/>
    </row>
    <row r="990" ht="15.75" customHeight="1">
      <c r="A990" s="41"/>
      <c r="E990" s="41"/>
      <c r="F990" s="85"/>
    </row>
    <row r="991" ht="15.75" customHeight="1">
      <c r="A991" s="41"/>
      <c r="E991" s="41"/>
      <c r="F991" s="85"/>
    </row>
    <row r="992" ht="15.75" customHeight="1">
      <c r="A992" s="41"/>
      <c r="E992" s="41"/>
      <c r="F992" s="85"/>
    </row>
    <row r="993" ht="15.75" customHeight="1">
      <c r="A993" s="41"/>
      <c r="E993" s="41"/>
      <c r="F993" s="85"/>
    </row>
    <row r="994" ht="15.75" customHeight="1">
      <c r="A994" s="41"/>
      <c r="E994" s="41"/>
      <c r="F994" s="85"/>
    </row>
    <row r="995" ht="15.75" customHeight="1">
      <c r="A995" s="41"/>
      <c r="E995" s="41"/>
      <c r="F995" s="85"/>
    </row>
    <row r="996" ht="15.75" customHeight="1">
      <c r="A996" s="41"/>
      <c r="E996" s="41"/>
      <c r="F996" s="85"/>
    </row>
    <row r="997" ht="15.75" customHeight="1">
      <c r="A997" s="41"/>
      <c r="E997" s="41"/>
      <c r="F997" s="85"/>
    </row>
    <row r="998" ht="15.75" customHeight="1">
      <c r="A998" s="41"/>
      <c r="E998" s="41"/>
      <c r="F998" s="85"/>
    </row>
    <row r="999" ht="15.75" customHeight="1">
      <c r="A999" s="41"/>
      <c r="E999" s="41"/>
      <c r="F999" s="85"/>
    </row>
    <row r="1000" ht="15.75" customHeight="1">
      <c r="A1000" s="41"/>
      <c r="E1000" s="41"/>
      <c r="F1000" s="85"/>
    </row>
    <row r="1001" ht="15.75" customHeight="1">
      <c r="A1001" s="41"/>
      <c r="E1001" s="41"/>
      <c r="F1001" s="85"/>
    </row>
    <row r="1002" ht="15.75" customHeight="1">
      <c r="A1002" s="41"/>
      <c r="E1002" s="41"/>
      <c r="F1002" s="85"/>
    </row>
    <row r="1003" ht="15.75" customHeight="1">
      <c r="A1003" s="41"/>
      <c r="E1003" s="41"/>
      <c r="F1003" s="85"/>
    </row>
    <row r="1004" ht="15.75" customHeight="1">
      <c r="A1004" s="41"/>
      <c r="E1004" s="41"/>
      <c r="F1004" s="85"/>
    </row>
    <row r="1005" ht="15.75" customHeight="1">
      <c r="A1005" s="41"/>
      <c r="E1005" s="41"/>
      <c r="F1005" s="85"/>
    </row>
    <row r="1006" ht="15.75" customHeight="1">
      <c r="A1006" s="41"/>
      <c r="E1006" s="41"/>
      <c r="F1006" s="85"/>
    </row>
    <row r="1007" ht="15.75" customHeight="1">
      <c r="A1007" s="41"/>
      <c r="E1007" s="41"/>
      <c r="F1007" s="85"/>
    </row>
    <row r="1008" ht="15.75" customHeight="1">
      <c r="A1008" s="41"/>
      <c r="E1008" s="41"/>
      <c r="F1008" s="85"/>
    </row>
    <row r="1009" ht="15.75" customHeight="1">
      <c r="A1009" s="41"/>
      <c r="E1009" s="41"/>
      <c r="F1009" s="85"/>
    </row>
    <row r="1010" ht="15.75" customHeight="1">
      <c r="A1010" s="41"/>
      <c r="E1010" s="41"/>
      <c r="F1010" s="85"/>
    </row>
    <row r="1011" ht="15.75" customHeight="1">
      <c r="A1011" s="41"/>
      <c r="E1011" s="41"/>
      <c r="F1011" s="85"/>
    </row>
    <row r="1012" ht="15.75" customHeight="1">
      <c r="A1012" s="41"/>
      <c r="E1012" s="41"/>
      <c r="F1012" s="85"/>
    </row>
  </sheetData>
  <mergeCells count="9">
    <mergeCell ref="F34:F38"/>
    <mergeCell ref="F39:F42"/>
    <mergeCell ref="F2:F5"/>
    <mergeCell ref="F6:F9"/>
    <mergeCell ref="F10:F13"/>
    <mergeCell ref="F14:F21"/>
    <mergeCell ref="F22:F25"/>
    <mergeCell ref="F26:F29"/>
    <mergeCell ref="F30:F3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9.5"/>
    <col customWidth="1" min="3" max="4" width="5.63"/>
    <col customWidth="1" min="5" max="6" width="11.75"/>
    <col customWidth="1" min="7" max="7" width="21.75"/>
    <col customWidth="1" min="8" max="8" width="11.75"/>
    <col customWidth="1" min="9" max="27" width="7.38"/>
  </cols>
  <sheetData>
    <row r="1" ht="15.75" customHeight="1">
      <c r="A1" s="86" t="s">
        <v>96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ht="15.75" customHeight="1">
      <c r="A2" s="87"/>
      <c r="B2" s="88"/>
      <c r="C2" s="87"/>
      <c r="D2" s="88"/>
      <c r="E2" s="88"/>
      <c r="F2" s="88"/>
      <c r="G2" s="88"/>
      <c r="H2" s="87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ht="15.75" customHeight="1">
      <c r="A3" s="89" t="s">
        <v>97</v>
      </c>
      <c r="B3" s="90" t="s">
        <v>2</v>
      </c>
      <c r="C3" s="91" t="s">
        <v>97</v>
      </c>
      <c r="D3" s="92" t="s">
        <v>98</v>
      </c>
      <c r="E3" s="92" t="s">
        <v>99</v>
      </c>
      <c r="F3" s="92" t="s">
        <v>100</v>
      </c>
      <c r="G3" s="93" t="s">
        <v>101</v>
      </c>
      <c r="H3" s="92" t="s">
        <v>36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ht="15.75" customHeight="1">
      <c r="A4" s="94">
        <v>1.0</v>
      </c>
      <c r="B4" s="95" t="s">
        <v>102</v>
      </c>
      <c r="C4" s="94">
        <v>1.0</v>
      </c>
      <c r="D4" s="96" t="s">
        <v>103</v>
      </c>
      <c r="E4" s="96" t="s">
        <v>104</v>
      </c>
      <c r="F4" s="96" t="s">
        <v>105</v>
      </c>
      <c r="G4" s="97" t="s">
        <v>106</v>
      </c>
      <c r="H4" s="98">
        <v>1.0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ht="15.75" customHeight="1">
      <c r="A5" s="94">
        <v>2.0</v>
      </c>
      <c r="B5" s="95" t="s">
        <v>107</v>
      </c>
      <c r="C5" s="94">
        <v>2.0</v>
      </c>
      <c r="D5" s="99" t="s">
        <v>103</v>
      </c>
      <c r="E5" s="99" t="s">
        <v>108</v>
      </c>
      <c r="F5" s="99" t="s">
        <v>109</v>
      </c>
      <c r="G5" s="100" t="s">
        <v>106</v>
      </c>
      <c r="H5" s="101">
        <v>1.0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ht="15.75" customHeight="1">
      <c r="A6" s="94">
        <v>3.0</v>
      </c>
      <c r="B6" s="95" t="s">
        <v>110</v>
      </c>
      <c r="C6" s="94">
        <v>3.0</v>
      </c>
      <c r="D6" s="99" t="s">
        <v>103</v>
      </c>
      <c r="E6" s="99" t="s">
        <v>111</v>
      </c>
      <c r="F6" s="99" t="s">
        <v>112</v>
      </c>
      <c r="G6" s="100" t="s">
        <v>113</v>
      </c>
      <c r="H6" s="101">
        <v>1.0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ht="15.75" customHeight="1">
      <c r="A7" s="94">
        <v>4.0</v>
      </c>
      <c r="B7" s="95" t="s">
        <v>114</v>
      </c>
      <c r="C7" s="94">
        <v>4.0</v>
      </c>
      <c r="D7" s="99" t="s">
        <v>115</v>
      </c>
      <c r="E7" s="99" t="s">
        <v>116</v>
      </c>
      <c r="F7" s="99" t="s">
        <v>117</v>
      </c>
      <c r="G7" s="100" t="s">
        <v>118</v>
      </c>
      <c r="H7" s="101">
        <v>1.0</v>
      </c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ht="15.75" customHeight="1">
      <c r="A8" s="94">
        <v>5.0</v>
      </c>
      <c r="B8" s="95" t="s">
        <v>119</v>
      </c>
      <c r="C8" s="94">
        <v>5.0</v>
      </c>
      <c r="D8" s="102" t="s">
        <v>115</v>
      </c>
      <c r="E8" s="102" t="s">
        <v>120</v>
      </c>
      <c r="F8" s="102" t="s">
        <v>121</v>
      </c>
      <c r="G8" s="103" t="s">
        <v>118</v>
      </c>
      <c r="H8" s="104">
        <v>1.0</v>
      </c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ht="15.75" customHeight="1">
      <c r="A9" s="94"/>
      <c r="B9" s="105"/>
      <c r="C9" s="106"/>
      <c r="D9" s="107"/>
      <c r="E9" s="107"/>
      <c r="F9" s="107"/>
      <c r="G9" s="107"/>
      <c r="H9" s="108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ht="15.75" customHeight="1">
      <c r="A10" s="94"/>
      <c r="B10" s="105"/>
      <c r="C10" s="106"/>
      <c r="D10" s="107"/>
      <c r="E10" s="107"/>
      <c r="F10" s="107"/>
      <c r="G10" s="107"/>
      <c r="H10" s="108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ht="15.75" customHeight="1">
      <c r="A11" s="94"/>
      <c r="B11" s="105"/>
      <c r="C11" s="106"/>
      <c r="D11" s="107"/>
      <c r="E11" s="107"/>
      <c r="F11" s="107"/>
      <c r="G11" s="107"/>
      <c r="H11" s="108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ht="15.75" customHeight="1">
      <c r="A12" s="94"/>
      <c r="B12" s="105"/>
      <c r="C12" s="106"/>
      <c r="D12" s="107"/>
      <c r="E12" s="107"/>
      <c r="F12" s="107"/>
      <c r="G12" s="107"/>
      <c r="H12" s="108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ht="15.75" customHeight="1">
      <c r="A13" s="94"/>
      <c r="B13" s="105"/>
      <c r="C13" s="106"/>
      <c r="D13" s="107"/>
      <c r="E13" s="107"/>
      <c r="F13" s="107"/>
      <c r="G13" s="107"/>
      <c r="H13" s="108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ht="15.75" customHeight="1">
      <c r="A14" s="94"/>
      <c r="B14" s="105"/>
      <c r="C14" s="106"/>
      <c r="D14" s="107"/>
      <c r="E14" s="107"/>
      <c r="F14" s="107"/>
      <c r="G14" s="107"/>
      <c r="H14" s="108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ht="15.75" customHeight="1">
      <c r="A15" s="94"/>
      <c r="B15" s="105"/>
      <c r="C15" s="106"/>
      <c r="D15" s="107"/>
      <c r="E15" s="107"/>
      <c r="F15" s="107"/>
      <c r="G15" s="107"/>
      <c r="H15" s="108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ht="15.75" customHeight="1">
      <c r="A16" s="94"/>
      <c r="B16" s="105"/>
      <c r="C16" s="106"/>
      <c r="D16" s="107"/>
      <c r="E16" s="107"/>
      <c r="F16" s="107"/>
      <c r="G16" s="107"/>
      <c r="H16" s="108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ht="15.75" customHeight="1">
      <c r="A17" s="94"/>
      <c r="B17" s="105"/>
      <c r="C17" s="106"/>
      <c r="D17" s="107"/>
      <c r="E17" s="107"/>
      <c r="F17" s="107"/>
      <c r="G17" s="107"/>
      <c r="H17" s="108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 ht="15.75" customHeight="1">
      <c r="A18" s="94"/>
      <c r="B18" s="105"/>
      <c r="C18" s="106"/>
      <c r="D18" s="107"/>
      <c r="E18" s="107"/>
      <c r="F18" s="107"/>
      <c r="G18" s="107"/>
      <c r="H18" s="108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ht="15.75" customHeight="1">
      <c r="A19" s="94"/>
      <c r="B19" s="105"/>
      <c r="C19" s="106"/>
      <c r="D19" s="107"/>
      <c r="E19" s="107"/>
      <c r="F19" s="107"/>
      <c r="G19" s="107"/>
      <c r="H19" s="108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ht="15.75" customHeight="1">
      <c r="A20" s="94"/>
      <c r="B20" s="105"/>
      <c r="C20" s="106"/>
      <c r="D20" s="107"/>
      <c r="E20" s="107"/>
      <c r="F20" s="107"/>
      <c r="G20" s="107"/>
      <c r="H20" s="108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ht="15.75" customHeight="1">
      <c r="A21" s="94"/>
      <c r="B21" s="105"/>
      <c r="C21" s="106"/>
      <c r="D21" s="107"/>
      <c r="E21" s="107"/>
      <c r="F21" s="107"/>
      <c r="G21" s="107"/>
      <c r="H21" s="108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ht="15.75" customHeight="1">
      <c r="A22" s="94"/>
      <c r="B22" s="105"/>
      <c r="C22" s="106"/>
      <c r="D22" s="107"/>
      <c r="E22" s="107"/>
      <c r="F22" s="107"/>
      <c r="G22" s="107"/>
      <c r="H22" s="108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ht="15.75" customHeight="1">
      <c r="A23" s="94"/>
      <c r="B23" s="105"/>
      <c r="C23" s="106"/>
      <c r="D23" s="107"/>
      <c r="E23" s="107"/>
      <c r="F23" s="107"/>
      <c r="G23" s="107"/>
      <c r="H23" s="108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ht="15.75" customHeight="1">
      <c r="A24" s="94"/>
      <c r="B24" s="105"/>
      <c r="C24" s="106"/>
      <c r="D24" s="107"/>
      <c r="E24" s="107"/>
      <c r="F24" s="107"/>
      <c r="G24" s="107"/>
      <c r="H24" s="108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ht="15.75" customHeight="1">
      <c r="A25" s="94"/>
      <c r="B25" s="105"/>
      <c r="C25" s="106"/>
      <c r="D25" s="107"/>
      <c r="E25" s="107"/>
      <c r="F25" s="107"/>
      <c r="G25" s="107"/>
      <c r="H25" s="108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ht="15.75" customHeight="1">
      <c r="A26" s="94"/>
      <c r="B26" s="105"/>
      <c r="C26" s="106"/>
      <c r="D26" s="107"/>
      <c r="E26" s="107"/>
      <c r="F26" s="107"/>
      <c r="G26" s="107"/>
      <c r="H26" s="108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ht="15.75" customHeight="1">
      <c r="A27" s="94"/>
      <c r="B27" s="105"/>
      <c r="C27" s="106"/>
      <c r="D27" s="107"/>
      <c r="E27" s="107"/>
      <c r="F27" s="107"/>
      <c r="G27" s="107"/>
      <c r="H27" s="108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ht="15.75" customHeight="1">
      <c r="A28" s="94"/>
      <c r="B28" s="105"/>
      <c r="C28" s="106"/>
      <c r="D28" s="107"/>
      <c r="E28" s="107"/>
      <c r="F28" s="107"/>
      <c r="G28" s="107"/>
      <c r="H28" s="108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ht="15.75" customHeight="1">
      <c r="A29" s="94"/>
      <c r="B29" s="105"/>
      <c r="C29" s="106"/>
      <c r="D29" s="107"/>
      <c r="E29" s="107"/>
      <c r="F29" s="107"/>
      <c r="G29" s="107"/>
      <c r="H29" s="108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ht="15.75" customHeight="1">
      <c r="A30" s="94"/>
      <c r="B30" s="105"/>
      <c r="C30" s="106"/>
      <c r="D30" s="107"/>
      <c r="E30" s="107"/>
      <c r="F30" s="107"/>
      <c r="G30" s="107"/>
      <c r="H30" s="108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ht="15.75" customHeight="1">
      <c r="A31" s="94"/>
      <c r="B31" s="105"/>
      <c r="C31" s="106"/>
      <c r="D31" s="107"/>
      <c r="E31" s="107"/>
      <c r="F31" s="107"/>
      <c r="G31" s="107"/>
      <c r="H31" s="108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ht="15.75" customHeight="1">
      <c r="A32" s="94"/>
      <c r="B32" s="105"/>
      <c r="C32" s="106"/>
      <c r="D32" s="107"/>
      <c r="E32" s="107"/>
      <c r="F32" s="107"/>
      <c r="G32" s="107"/>
      <c r="H32" s="108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ht="15.75" customHeight="1">
      <c r="A33" s="94"/>
      <c r="B33" s="105"/>
      <c r="C33" s="106"/>
      <c r="D33" s="107"/>
      <c r="E33" s="107"/>
      <c r="F33" s="107"/>
      <c r="G33" s="107"/>
      <c r="H33" s="108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ht="15.75" customHeight="1">
      <c r="A34" s="94"/>
      <c r="B34" s="105"/>
      <c r="C34" s="106"/>
      <c r="D34" s="107"/>
      <c r="E34" s="107"/>
      <c r="F34" s="107"/>
      <c r="G34" s="107"/>
      <c r="H34" s="108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ht="15.75" customHeight="1">
      <c r="A35" s="94"/>
      <c r="B35" s="105"/>
      <c r="C35" s="106"/>
      <c r="D35" s="107"/>
      <c r="E35" s="107"/>
      <c r="F35" s="107"/>
      <c r="G35" s="107"/>
      <c r="H35" s="108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ht="15.75" customHeight="1">
      <c r="A36" s="94"/>
      <c r="B36" s="105"/>
      <c r="C36" s="106"/>
      <c r="D36" s="107"/>
      <c r="E36" s="107"/>
      <c r="F36" s="107"/>
      <c r="G36" s="107"/>
      <c r="H36" s="108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ht="15.75" customHeight="1">
      <c r="A37" s="94"/>
      <c r="B37" s="105"/>
      <c r="C37" s="106"/>
      <c r="D37" s="107"/>
      <c r="E37" s="107"/>
      <c r="F37" s="107"/>
      <c r="G37" s="107"/>
      <c r="H37" s="108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ht="15.75" customHeight="1">
      <c r="A38" s="94"/>
      <c r="B38" s="105"/>
      <c r="C38" s="106"/>
      <c r="D38" s="107"/>
      <c r="E38" s="107"/>
      <c r="F38" s="107"/>
      <c r="G38" s="107"/>
      <c r="H38" s="108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ht="15.75" customHeight="1">
      <c r="A39" s="94"/>
      <c r="B39" s="105"/>
      <c r="C39" s="106"/>
      <c r="D39" s="109"/>
      <c r="E39" s="109"/>
      <c r="F39" s="109"/>
      <c r="G39" s="109"/>
      <c r="H39" s="106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ht="15.75" customHeight="1">
      <c r="A40" s="94"/>
      <c r="B40" s="105"/>
      <c r="C40" s="106"/>
      <c r="D40" s="109"/>
      <c r="E40" s="109"/>
      <c r="F40" s="109"/>
      <c r="G40" s="109"/>
      <c r="H40" s="106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ht="15.75" customHeight="1">
      <c r="A41" s="94"/>
      <c r="B41" s="105"/>
      <c r="C41" s="106"/>
      <c r="D41" s="109"/>
      <c r="E41" s="109"/>
      <c r="F41" s="109"/>
      <c r="G41" s="109"/>
      <c r="H41" s="106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ht="15.75" customHeight="1">
      <c r="A42" s="94"/>
      <c r="B42" s="105"/>
      <c r="C42" s="106"/>
      <c r="D42" s="109"/>
      <c r="E42" s="109"/>
      <c r="F42" s="109"/>
      <c r="G42" s="109"/>
      <c r="H42" s="106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ht="15.75" customHeight="1">
      <c r="A43" s="94"/>
      <c r="B43" s="105"/>
      <c r="C43" s="106"/>
      <c r="D43" s="109"/>
      <c r="E43" s="109"/>
      <c r="F43" s="109"/>
      <c r="G43" s="109"/>
      <c r="H43" s="106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ht="15.75" customHeight="1">
      <c r="A44" s="94"/>
      <c r="B44" s="105"/>
      <c r="C44" s="106"/>
      <c r="D44" s="109"/>
      <c r="E44" s="109"/>
      <c r="F44" s="109"/>
      <c r="G44" s="109"/>
      <c r="H44" s="106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ht="15.75" customHeight="1">
      <c r="A45" s="94"/>
      <c r="B45" s="105"/>
      <c r="C45" s="106"/>
      <c r="D45" s="109"/>
      <c r="E45" s="109"/>
      <c r="F45" s="109"/>
      <c r="G45" s="109"/>
      <c r="H45" s="106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ht="15.75" customHeight="1">
      <c r="A46" s="94"/>
      <c r="B46" s="105"/>
      <c r="C46" s="106"/>
      <c r="D46" s="109"/>
      <c r="E46" s="109"/>
      <c r="F46" s="109"/>
      <c r="G46" s="109"/>
      <c r="H46" s="106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ht="15.75" customHeight="1">
      <c r="A47" s="94"/>
      <c r="B47" s="105"/>
      <c r="C47" s="106"/>
      <c r="D47" s="109"/>
      <c r="E47" s="109"/>
      <c r="F47" s="109"/>
      <c r="G47" s="109"/>
      <c r="H47" s="106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ht="15.75" customHeight="1">
      <c r="A48" s="94"/>
      <c r="B48" s="105"/>
      <c r="C48" s="106"/>
      <c r="D48" s="109"/>
      <c r="E48" s="109"/>
      <c r="F48" s="109"/>
      <c r="G48" s="109"/>
      <c r="H48" s="106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ht="15.75" customHeight="1">
      <c r="A49" s="94"/>
      <c r="B49" s="105"/>
      <c r="C49" s="106"/>
      <c r="D49" s="109"/>
      <c r="E49" s="109"/>
      <c r="F49" s="109"/>
      <c r="G49" s="109"/>
      <c r="H49" s="106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ht="15.75" customHeight="1">
      <c r="A50" s="94"/>
      <c r="B50" s="105"/>
      <c r="C50" s="106"/>
      <c r="D50" s="109"/>
      <c r="E50" s="109"/>
      <c r="F50" s="109"/>
      <c r="G50" s="109"/>
      <c r="H50" s="106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ht="15.75" customHeight="1">
      <c r="A51" s="94"/>
      <c r="B51" s="105"/>
      <c r="C51" s="106"/>
      <c r="D51" s="109"/>
      <c r="E51" s="109"/>
      <c r="F51" s="109"/>
      <c r="G51" s="109"/>
      <c r="H51" s="106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ht="15.75" customHeight="1">
      <c r="A52" s="94"/>
      <c r="B52" s="105"/>
      <c r="C52" s="106"/>
      <c r="D52" s="109"/>
      <c r="E52" s="109"/>
      <c r="F52" s="109"/>
      <c r="G52" s="109"/>
      <c r="H52" s="106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ht="15.75" customHeight="1">
      <c r="A53" s="94"/>
      <c r="B53" s="105"/>
      <c r="C53" s="106"/>
      <c r="D53" s="109"/>
      <c r="E53" s="109"/>
      <c r="F53" s="109"/>
      <c r="G53" s="109"/>
      <c r="H53" s="106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ht="15.75" customHeight="1">
      <c r="A54" s="94"/>
      <c r="B54" s="105"/>
      <c r="C54" s="106"/>
      <c r="D54" s="109"/>
      <c r="E54" s="109"/>
      <c r="F54" s="109"/>
      <c r="G54" s="109"/>
      <c r="H54" s="106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ht="15.75" customHeight="1">
      <c r="A55" s="94"/>
      <c r="B55" s="105"/>
      <c r="C55" s="106"/>
      <c r="D55" s="109"/>
      <c r="E55" s="109"/>
      <c r="F55" s="109"/>
      <c r="G55" s="109"/>
      <c r="H55" s="106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ht="15.75" customHeight="1">
      <c r="A56" s="94"/>
      <c r="B56" s="105"/>
      <c r="C56" s="106"/>
      <c r="D56" s="109"/>
      <c r="E56" s="109"/>
      <c r="F56" s="109"/>
      <c r="G56" s="109"/>
      <c r="H56" s="106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ht="15.75" customHeight="1">
      <c r="A57" s="94"/>
      <c r="B57" s="110"/>
      <c r="C57" s="106"/>
      <c r="D57" s="111"/>
      <c r="E57" s="111"/>
      <c r="F57" s="111"/>
      <c r="G57" s="111"/>
      <c r="H57" s="112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ht="15.75" customHeight="1">
      <c r="A58" s="94"/>
      <c r="B58" s="105"/>
      <c r="C58" s="106"/>
      <c r="D58" s="109"/>
      <c r="E58" s="109"/>
      <c r="F58" s="109"/>
      <c r="G58" s="109"/>
      <c r="H58" s="106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ht="15.75" customHeight="1">
      <c r="A59" s="94"/>
      <c r="B59" s="105"/>
      <c r="C59" s="106"/>
      <c r="D59" s="109"/>
      <c r="E59" s="109"/>
      <c r="F59" s="109"/>
      <c r="G59" s="109"/>
      <c r="H59" s="106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ht="15.75" customHeight="1">
      <c r="A60" s="94"/>
      <c r="B60" s="105"/>
      <c r="C60" s="106"/>
      <c r="D60" s="109"/>
      <c r="E60" s="109"/>
      <c r="F60" s="109"/>
      <c r="G60" s="109"/>
      <c r="H60" s="106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ht="15.75" customHeight="1">
      <c r="A61" s="94"/>
      <c r="B61" s="105"/>
      <c r="C61" s="106"/>
      <c r="D61" s="109"/>
      <c r="E61" s="109"/>
      <c r="F61" s="109"/>
      <c r="G61" s="109"/>
      <c r="H61" s="106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ht="15.75" customHeight="1">
      <c r="A62" s="94"/>
      <c r="B62" s="105"/>
      <c r="C62" s="106"/>
      <c r="D62" s="109"/>
      <c r="E62" s="109"/>
      <c r="F62" s="109"/>
      <c r="G62" s="109"/>
      <c r="H62" s="106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ht="15.75" customHeight="1">
      <c r="A63" s="94"/>
      <c r="B63" s="105"/>
      <c r="C63" s="106"/>
      <c r="D63" s="109"/>
      <c r="E63" s="109"/>
      <c r="F63" s="109"/>
      <c r="G63" s="109"/>
      <c r="H63" s="106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ht="15.75" customHeight="1">
      <c r="A64" s="94"/>
      <c r="B64" s="105"/>
      <c r="C64" s="106"/>
      <c r="D64" s="109"/>
      <c r="E64" s="109"/>
      <c r="F64" s="109"/>
      <c r="G64" s="109"/>
      <c r="H64" s="106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ht="15.75" customHeight="1">
      <c r="A65" s="94"/>
      <c r="B65" s="105"/>
      <c r="C65" s="106"/>
      <c r="D65" s="109"/>
      <c r="E65" s="109"/>
      <c r="F65" s="109"/>
      <c r="G65" s="109"/>
      <c r="H65" s="106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 ht="15.75" customHeight="1">
      <c r="A66" s="94"/>
      <c r="B66" s="105"/>
      <c r="C66" s="106"/>
      <c r="D66" s="109"/>
      <c r="E66" s="109"/>
      <c r="F66" s="109"/>
      <c r="G66" s="109"/>
      <c r="H66" s="106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ht="15.75" customHeight="1">
      <c r="A67" s="94"/>
      <c r="B67" s="105"/>
      <c r="C67" s="106"/>
      <c r="D67" s="109"/>
      <c r="E67" s="109"/>
      <c r="F67" s="109"/>
      <c r="G67" s="109"/>
      <c r="H67" s="106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 ht="15.75" customHeight="1">
      <c r="A68" s="94"/>
      <c r="B68" s="105"/>
      <c r="C68" s="106"/>
      <c r="D68" s="109"/>
      <c r="E68" s="109"/>
      <c r="F68" s="109"/>
      <c r="G68" s="109"/>
      <c r="H68" s="106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ht="15.75" customHeight="1">
      <c r="A69" s="94"/>
      <c r="B69" s="105"/>
      <c r="C69" s="106"/>
      <c r="D69" s="109"/>
      <c r="E69" s="109"/>
      <c r="F69" s="109"/>
      <c r="G69" s="109"/>
      <c r="H69" s="106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 ht="15.75" customHeight="1">
      <c r="A70" s="94"/>
      <c r="B70" s="105"/>
      <c r="C70" s="106"/>
      <c r="D70" s="109"/>
      <c r="E70" s="109"/>
      <c r="F70" s="109"/>
      <c r="G70" s="109"/>
      <c r="H70" s="106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 ht="15.75" customHeight="1">
      <c r="A71" s="94"/>
      <c r="B71" s="105"/>
      <c r="C71" s="106"/>
      <c r="D71" s="109"/>
      <c r="E71" s="109"/>
      <c r="F71" s="109"/>
      <c r="G71" s="109"/>
      <c r="H71" s="106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 ht="15.75" customHeight="1">
      <c r="A72" s="94"/>
      <c r="B72" s="105"/>
      <c r="C72" s="106"/>
      <c r="D72" s="109"/>
      <c r="E72" s="109"/>
      <c r="F72" s="109"/>
      <c r="G72" s="109"/>
      <c r="H72" s="106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 ht="15.75" customHeight="1">
      <c r="A73" s="94"/>
      <c r="B73" s="105"/>
      <c r="C73" s="106"/>
      <c r="D73" s="109"/>
      <c r="E73" s="109"/>
      <c r="F73" s="109"/>
      <c r="G73" s="109"/>
      <c r="H73" s="106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ht="15.75" customHeight="1">
      <c r="A74" s="94"/>
      <c r="B74" s="105"/>
      <c r="C74" s="106"/>
      <c r="D74" s="109"/>
      <c r="E74" s="109"/>
      <c r="F74" s="109"/>
      <c r="G74" s="109"/>
      <c r="H74" s="106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 ht="15.75" customHeight="1">
      <c r="A75" s="94"/>
      <c r="B75" s="105"/>
      <c r="C75" s="106"/>
      <c r="D75" s="109"/>
      <c r="E75" s="109"/>
      <c r="F75" s="109"/>
      <c r="G75" s="109"/>
      <c r="H75" s="106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 ht="15.75" customHeight="1">
      <c r="A76" s="94"/>
      <c r="B76" s="105"/>
      <c r="C76" s="106"/>
      <c r="D76" s="109"/>
      <c r="E76" s="109"/>
      <c r="F76" s="109"/>
      <c r="G76" s="109"/>
      <c r="H76" s="106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 ht="15.75" customHeight="1">
      <c r="A77" s="94"/>
      <c r="B77" s="105"/>
      <c r="C77" s="106"/>
      <c r="D77" s="109"/>
      <c r="E77" s="109"/>
      <c r="F77" s="109"/>
      <c r="G77" s="109"/>
      <c r="H77" s="106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ht="15.75" customHeight="1">
      <c r="A78" s="94"/>
      <c r="B78" s="105"/>
      <c r="C78" s="106"/>
      <c r="D78" s="109"/>
      <c r="E78" s="109"/>
      <c r="F78" s="109"/>
      <c r="G78" s="109"/>
      <c r="H78" s="106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 ht="15.75" customHeight="1">
      <c r="A79" s="94"/>
      <c r="B79" s="105"/>
      <c r="C79" s="106"/>
      <c r="D79" s="109"/>
      <c r="E79" s="109"/>
      <c r="F79" s="109"/>
      <c r="G79" s="109"/>
      <c r="H79" s="106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 ht="15.75" customHeight="1">
      <c r="A80" s="94"/>
      <c r="B80" s="105"/>
      <c r="C80" s="106"/>
      <c r="D80" s="109"/>
      <c r="E80" s="109"/>
      <c r="F80" s="109"/>
      <c r="G80" s="109"/>
      <c r="H80" s="106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 ht="15.75" customHeight="1">
      <c r="A81" s="94"/>
      <c r="B81" s="105"/>
      <c r="C81" s="106"/>
      <c r="D81" s="109"/>
      <c r="E81" s="109"/>
      <c r="F81" s="109"/>
      <c r="G81" s="109"/>
      <c r="H81" s="106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ht="15.75" customHeight="1">
      <c r="A82" s="94"/>
      <c r="B82" s="105"/>
      <c r="C82" s="106"/>
      <c r="D82" s="109"/>
      <c r="E82" s="109"/>
      <c r="F82" s="109"/>
      <c r="G82" s="109"/>
      <c r="H82" s="106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 ht="15.75" customHeight="1">
      <c r="A83" s="94"/>
      <c r="B83" s="105"/>
      <c r="C83" s="106"/>
      <c r="D83" s="109"/>
      <c r="E83" s="109"/>
      <c r="F83" s="109"/>
      <c r="G83" s="109"/>
      <c r="H83" s="106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 ht="15.75" customHeight="1">
      <c r="A84" s="94"/>
      <c r="B84" s="105"/>
      <c r="C84" s="106"/>
      <c r="D84" s="109"/>
      <c r="E84" s="109"/>
      <c r="F84" s="109"/>
      <c r="G84" s="109"/>
      <c r="H84" s="106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 ht="15.75" customHeight="1">
      <c r="A85" s="94"/>
      <c r="B85" s="105"/>
      <c r="C85" s="106"/>
      <c r="D85" s="109"/>
      <c r="E85" s="109"/>
      <c r="F85" s="109"/>
      <c r="G85" s="109"/>
      <c r="H85" s="106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 ht="15.75" customHeight="1">
      <c r="A86" s="94"/>
      <c r="B86" s="105"/>
      <c r="C86" s="106"/>
      <c r="D86" s="109"/>
      <c r="E86" s="109"/>
      <c r="F86" s="109"/>
      <c r="G86" s="109"/>
      <c r="H86" s="106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ht="15.75" customHeight="1">
      <c r="A87" s="94"/>
      <c r="B87" s="105"/>
      <c r="C87" s="106"/>
      <c r="D87" s="109"/>
      <c r="E87" s="109"/>
      <c r="F87" s="109"/>
      <c r="G87" s="109"/>
      <c r="H87" s="106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ht="15.75" customHeight="1">
      <c r="A88" s="94"/>
      <c r="B88" s="105"/>
      <c r="C88" s="106"/>
      <c r="D88" s="109"/>
      <c r="E88" s="109"/>
      <c r="F88" s="109"/>
      <c r="G88" s="109"/>
      <c r="H88" s="106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ht="15.75" customHeight="1">
      <c r="A89" s="94"/>
      <c r="B89" s="105"/>
      <c r="C89" s="106"/>
      <c r="D89" s="109"/>
      <c r="E89" s="109"/>
      <c r="F89" s="109"/>
      <c r="G89" s="109"/>
      <c r="H89" s="106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ht="15.75" customHeight="1">
      <c r="A90" s="94"/>
      <c r="B90" s="105"/>
      <c r="C90" s="106"/>
      <c r="D90" s="109"/>
      <c r="E90" s="109"/>
      <c r="F90" s="109"/>
      <c r="G90" s="109"/>
      <c r="H90" s="106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ht="15.75" customHeight="1">
      <c r="A91" s="94"/>
      <c r="B91" s="105"/>
      <c r="C91" s="106"/>
      <c r="D91" s="109"/>
      <c r="E91" s="109"/>
      <c r="F91" s="109"/>
      <c r="G91" s="109"/>
      <c r="H91" s="106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ht="15.75" customHeight="1">
      <c r="A92" s="94"/>
      <c r="B92" s="105"/>
      <c r="C92" s="106"/>
      <c r="D92" s="109"/>
      <c r="E92" s="109"/>
      <c r="F92" s="109"/>
      <c r="G92" s="109"/>
      <c r="H92" s="106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ht="15.75" customHeight="1">
      <c r="A93" s="94"/>
      <c r="B93" s="105"/>
      <c r="C93" s="106"/>
      <c r="D93" s="109"/>
      <c r="E93" s="109"/>
      <c r="F93" s="109"/>
      <c r="G93" s="109"/>
      <c r="H93" s="106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ht="15.75" customHeight="1">
      <c r="A94" s="94"/>
      <c r="B94" s="105"/>
      <c r="C94" s="106"/>
      <c r="D94" s="109"/>
      <c r="E94" s="109"/>
      <c r="F94" s="109"/>
      <c r="G94" s="109"/>
      <c r="H94" s="106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ht="15.75" customHeight="1">
      <c r="A95" s="94"/>
      <c r="B95" s="105"/>
      <c r="C95" s="106"/>
      <c r="D95" s="109"/>
      <c r="E95" s="109"/>
      <c r="F95" s="109"/>
      <c r="G95" s="109"/>
      <c r="H95" s="106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ht="15.75" customHeight="1">
      <c r="A96" s="94"/>
      <c r="B96" s="105"/>
      <c r="C96" s="106"/>
      <c r="D96" s="109"/>
      <c r="E96" s="109"/>
      <c r="F96" s="109"/>
      <c r="G96" s="109"/>
      <c r="H96" s="106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ht="15.75" customHeight="1">
      <c r="A97" s="94"/>
      <c r="B97" s="105"/>
      <c r="C97" s="106"/>
      <c r="D97" s="109"/>
      <c r="E97" s="109"/>
      <c r="F97" s="109"/>
      <c r="G97" s="109"/>
      <c r="H97" s="106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ht="15.75" customHeight="1">
      <c r="A98" s="94"/>
      <c r="B98" s="105"/>
      <c r="C98" s="106"/>
      <c r="D98" s="109"/>
      <c r="E98" s="109"/>
      <c r="F98" s="109"/>
      <c r="G98" s="109"/>
      <c r="H98" s="106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ht="15.75" customHeight="1">
      <c r="A99" s="94"/>
      <c r="B99" s="105"/>
      <c r="C99" s="106"/>
      <c r="D99" s="109"/>
      <c r="E99" s="109"/>
      <c r="F99" s="109"/>
      <c r="G99" s="109"/>
      <c r="H99" s="106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ht="15.75" customHeight="1">
      <c r="A100" s="41"/>
      <c r="B100" s="51"/>
      <c r="C100" s="41"/>
      <c r="D100" s="51"/>
      <c r="E100" s="51"/>
      <c r="F100" s="51"/>
      <c r="G100" s="51"/>
      <c r="H100" s="4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ht="15.75" customHeight="1">
      <c r="A101" s="41"/>
      <c r="B101" s="51"/>
      <c r="C101" s="41"/>
      <c r="D101" s="51"/>
      <c r="E101" s="51"/>
      <c r="F101" s="51"/>
      <c r="G101" s="51"/>
      <c r="H101" s="4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ht="15.75" customHeight="1">
      <c r="A102" s="41"/>
      <c r="B102" s="51"/>
      <c r="C102" s="41"/>
      <c r="D102" s="51"/>
      <c r="E102" s="51"/>
      <c r="F102" s="51"/>
      <c r="G102" s="51"/>
      <c r="H102" s="4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ht="15.75" customHeight="1">
      <c r="A103" s="41"/>
      <c r="B103" s="51"/>
      <c r="C103" s="41"/>
      <c r="D103" s="51"/>
      <c r="E103" s="51"/>
      <c r="F103" s="51"/>
      <c r="G103" s="51"/>
      <c r="H103" s="4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ht="15.75" customHeight="1">
      <c r="A104" s="41"/>
      <c r="B104" s="51"/>
      <c r="C104" s="41"/>
      <c r="D104" s="51"/>
      <c r="E104" s="51"/>
      <c r="F104" s="51"/>
      <c r="G104" s="51"/>
      <c r="H104" s="4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ht="15.75" customHeight="1">
      <c r="A105" s="41"/>
      <c r="B105" s="51"/>
      <c r="C105" s="41"/>
      <c r="D105" s="51"/>
      <c r="E105" s="51"/>
      <c r="F105" s="51"/>
      <c r="G105" s="51"/>
      <c r="H105" s="4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ht="15.75" customHeight="1">
      <c r="A106" s="41"/>
      <c r="B106" s="51"/>
      <c r="C106" s="41"/>
      <c r="D106" s="51"/>
      <c r="E106" s="51"/>
      <c r="F106" s="51"/>
      <c r="G106" s="51"/>
      <c r="H106" s="4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ht="15.75" customHeight="1">
      <c r="A107" s="41"/>
      <c r="B107" s="51"/>
      <c r="C107" s="41"/>
      <c r="D107" s="51"/>
      <c r="E107" s="51"/>
      <c r="F107" s="51"/>
      <c r="G107" s="51"/>
      <c r="H107" s="4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ht="15.75" customHeight="1">
      <c r="A108" s="41"/>
      <c r="B108" s="51"/>
      <c r="C108" s="41"/>
      <c r="D108" s="51"/>
      <c r="E108" s="51"/>
      <c r="F108" s="51"/>
      <c r="G108" s="51"/>
      <c r="H108" s="4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ht="15.75" customHeight="1">
      <c r="A109" s="41"/>
      <c r="B109" s="51"/>
      <c r="C109" s="41"/>
      <c r="D109" s="51"/>
      <c r="E109" s="51"/>
      <c r="F109" s="51"/>
      <c r="G109" s="51"/>
      <c r="H109" s="4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ht="15.75" customHeight="1">
      <c r="A110" s="41"/>
      <c r="B110" s="51"/>
      <c r="C110" s="41"/>
      <c r="D110" s="51"/>
      <c r="E110" s="51"/>
      <c r="F110" s="51"/>
      <c r="G110" s="51"/>
      <c r="H110" s="4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 ht="15.75" customHeight="1">
      <c r="A111" s="41"/>
      <c r="B111" s="51"/>
      <c r="C111" s="41"/>
      <c r="D111" s="51"/>
      <c r="E111" s="51"/>
      <c r="F111" s="51"/>
      <c r="G111" s="51"/>
      <c r="H111" s="4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ht="15.75" customHeight="1">
      <c r="A112" s="41"/>
      <c r="B112" s="51"/>
      <c r="C112" s="41"/>
      <c r="D112" s="51"/>
      <c r="E112" s="51"/>
      <c r="F112" s="51"/>
      <c r="G112" s="51"/>
      <c r="H112" s="4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 ht="15.75" customHeight="1">
      <c r="A113" s="41"/>
      <c r="B113" s="51"/>
      <c r="C113" s="41"/>
      <c r="D113" s="51"/>
      <c r="E113" s="51"/>
      <c r="F113" s="51"/>
      <c r="G113" s="51"/>
      <c r="H113" s="4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 ht="15.75" customHeight="1">
      <c r="A114" s="41"/>
      <c r="B114" s="51"/>
      <c r="C114" s="41"/>
      <c r="D114" s="51"/>
      <c r="E114" s="51"/>
      <c r="F114" s="51"/>
      <c r="G114" s="51"/>
      <c r="H114" s="4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 ht="15.75" customHeight="1">
      <c r="A115" s="41"/>
      <c r="B115" s="51"/>
      <c r="C115" s="41"/>
      <c r="D115" s="51"/>
      <c r="E115" s="51"/>
      <c r="F115" s="51"/>
      <c r="G115" s="51"/>
      <c r="H115" s="4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 ht="15.75" customHeight="1">
      <c r="A116" s="41"/>
      <c r="B116" s="51"/>
      <c r="C116" s="41"/>
      <c r="D116" s="51"/>
      <c r="E116" s="51"/>
      <c r="F116" s="51"/>
      <c r="G116" s="51"/>
      <c r="H116" s="4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 ht="15.75" customHeight="1">
      <c r="A117" s="41"/>
      <c r="B117" s="51"/>
      <c r="C117" s="41"/>
      <c r="D117" s="51"/>
      <c r="E117" s="51"/>
      <c r="F117" s="51"/>
      <c r="G117" s="51"/>
      <c r="H117" s="4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 ht="15.75" customHeight="1">
      <c r="A118" s="41"/>
      <c r="B118" s="51"/>
      <c r="C118" s="41"/>
      <c r="D118" s="51"/>
      <c r="E118" s="51"/>
      <c r="F118" s="51"/>
      <c r="G118" s="51"/>
      <c r="H118" s="4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 ht="15.75" customHeight="1">
      <c r="A119" s="41"/>
      <c r="B119" s="51"/>
      <c r="C119" s="41"/>
      <c r="D119" s="51"/>
      <c r="E119" s="51"/>
      <c r="F119" s="51"/>
      <c r="G119" s="51"/>
      <c r="H119" s="4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 ht="15.75" customHeight="1">
      <c r="A120" s="41"/>
      <c r="B120" s="51"/>
      <c r="C120" s="41"/>
      <c r="D120" s="51"/>
      <c r="E120" s="51"/>
      <c r="F120" s="51"/>
      <c r="G120" s="51"/>
      <c r="H120" s="4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 ht="15.75" customHeight="1">
      <c r="A121" s="41"/>
      <c r="B121" s="51"/>
      <c r="C121" s="41"/>
      <c r="D121" s="51"/>
      <c r="E121" s="51"/>
      <c r="F121" s="51"/>
      <c r="G121" s="51"/>
      <c r="H121" s="4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 ht="15.75" customHeight="1">
      <c r="A122" s="41"/>
      <c r="B122" s="51"/>
      <c r="C122" s="41"/>
      <c r="D122" s="51"/>
      <c r="E122" s="51"/>
      <c r="F122" s="51"/>
      <c r="G122" s="51"/>
      <c r="H122" s="4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 ht="15.75" customHeight="1">
      <c r="A123" s="41"/>
      <c r="B123" s="51"/>
      <c r="C123" s="41"/>
      <c r="D123" s="51"/>
      <c r="E123" s="51"/>
      <c r="F123" s="51"/>
      <c r="G123" s="51"/>
      <c r="H123" s="4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 ht="15.75" customHeight="1">
      <c r="A124" s="41"/>
      <c r="B124" s="51"/>
      <c r="C124" s="41"/>
      <c r="D124" s="51"/>
      <c r="E124" s="51"/>
      <c r="F124" s="51"/>
      <c r="G124" s="51"/>
      <c r="H124" s="4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 ht="15.75" customHeight="1">
      <c r="A125" s="41"/>
      <c r="B125" s="51"/>
      <c r="C125" s="41"/>
      <c r="D125" s="51"/>
      <c r="E125" s="51"/>
      <c r="F125" s="51"/>
      <c r="G125" s="51"/>
      <c r="H125" s="4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 ht="15.75" customHeight="1">
      <c r="A126" s="41"/>
      <c r="B126" s="51"/>
      <c r="C126" s="41"/>
      <c r="D126" s="51"/>
      <c r="E126" s="51"/>
      <c r="F126" s="51"/>
      <c r="G126" s="51"/>
      <c r="H126" s="4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 ht="15.75" customHeight="1">
      <c r="A127" s="41"/>
      <c r="B127" s="51"/>
      <c r="C127" s="41"/>
      <c r="D127" s="51"/>
      <c r="E127" s="51"/>
      <c r="F127" s="51"/>
      <c r="G127" s="51"/>
      <c r="H127" s="4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 ht="15.75" customHeight="1">
      <c r="A128" s="41"/>
      <c r="B128" s="51"/>
      <c r="C128" s="41"/>
      <c r="D128" s="51"/>
      <c r="E128" s="51"/>
      <c r="F128" s="51"/>
      <c r="G128" s="51"/>
      <c r="H128" s="4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 ht="15.75" customHeight="1">
      <c r="A129" s="41"/>
      <c r="B129" s="51"/>
      <c r="C129" s="41"/>
      <c r="D129" s="51"/>
      <c r="E129" s="51"/>
      <c r="F129" s="51"/>
      <c r="G129" s="51"/>
      <c r="H129" s="4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 ht="15.75" customHeight="1">
      <c r="A130" s="41"/>
      <c r="B130" s="51"/>
      <c r="C130" s="41"/>
      <c r="D130" s="51"/>
      <c r="E130" s="51"/>
      <c r="F130" s="51"/>
      <c r="G130" s="51"/>
      <c r="H130" s="4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ht="15.75" customHeight="1">
      <c r="A131" s="41"/>
      <c r="B131" s="51"/>
      <c r="C131" s="41"/>
      <c r="D131" s="51"/>
      <c r="E131" s="51"/>
      <c r="F131" s="51"/>
      <c r="G131" s="51"/>
      <c r="H131" s="4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ht="15.75" customHeight="1">
      <c r="A132" s="41"/>
      <c r="B132" s="51"/>
      <c r="C132" s="41"/>
      <c r="D132" s="51"/>
      <c r="E132" s="51"/>
      <c r="F132" s="51"/>
      <c r="G132" s="51"/>
      <c r="H132" s="4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 ht="15.75" customHeight="1">
      <c r="A133" s="41"/>
      <c r="B133" s="51"/>
      <c r="C133" s="41"/>
      <c r="D133" s="51"/>
      <c r="E133" s="51"/>
      <c r="F133" s="51"/>
      <c r="G133" s="51"/>
      <c r="H133" s="4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 ht="15.75" customHeight="1">
      <c r="A134" s="41"/>
      <c r="B134" s="51"/>
      <c r="C134" s="41"/>
      <c r="D134" s="51"/>
      <c r="E134" s="51"/>
      <c r="F134" s="51"/>
      <c r="G134" s="51"/>
      <c r="H134" s="4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 ht="15.75" customHeight="1">
      <c r="A135" s="41"/>
      <c r="B135" s="51"/>
      <c r="C135" s="41"/>
      <c r="D135" s="51"/>
      <c r="E135" s="51"/>
      <c r="F135" s="51"/>
      <c r="G135" s="51"/>
      <c r="H135" s="4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 ht="15.75" customHeight="1">
      <c r="A136" s="41"/>
      <c r="B136" s="51"/>
      <c r="C136" s="41"/>
      <c r="D136" s="51"/>
      <c r="E136" s="51"/>
      <c r="F136" s="51"/>
      <c r="G136" s="51"/>
      <c r="H136" s="4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 ht="15.75" customHeight="1">
      <c r="A137" s="41"/>
      <c r="B137" s="51"/>
      <c r="C137" s="41"/>
      <c r="D137" s="51"/>
      <c r="E137" s="51"/>
      <c r="F137" s="51"/>
      <c r="G137" s="51"/>
      <c r="H137" s="4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ht="15.75" customHeight="1">
      <c r="A138" s="41"/>
      <c r="B138" s="51"/>
      <c r="C138" s="41"/>
      <c r="D138" s="51"/>
      <c r="E138" s="51"/>
      <c r="F138" s="51"/>
      <c r="G138" s="51"/>
      <c r="H138" s="4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ht="15.75" customHeight="1">
      <c r="A139" s="41"/>
      <c r="B139" s="51"/>
      <c r="C139" s="41"/>
      <c r="D139" s="51"/>
      <c r="E139" s="51"/>
      <c r="F139" s="51"/>
      <c r="G139" s="51"/>
      <c r="H139" s="4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 ht="15.75" customHeight="1">
      <c r="A140" s="41"/>
      <c r="B140" s="51"/>
      <c r="C140" s="41"/>
      <c r="D140" s="51"/>
      <c r="E140" s="51"/>
      <c r="F140" s="51"/>
      <c r="G140" s="51"/>
      <c r="H140" s="4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 ht="15.75" customHeight="1">
      <c r="A141" s="41"/>
      <c r="B141" s="51"/>
      <c r="C141" s="41"/>
      <c r="D141" s="51"/>
      <c r="E141" s="51"/>
      <c r="F141" s="51"/>
      <c r="G141" s="51"/>
      <c r="H141" s="4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 ht="15.75" customHeight="1">
      <c r="A142" s="41"/>
      <c r="B142" s="51"/>
      <c r="C142" s="41"/>
      <c r="D142" s="51"/>
      <c r="E142" s="51"/>
      <c r="F142" s="51"/>
      <c r="G142" s="51"/>
      <c r="H142" s="4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 ht="15.75" customHeight="1">
      <c r="A143" s="41"/>
      <c r="B143" s="51"/>
      <c r="C143" s="41"/>
      <c r="D143" s="51"/>
      <c r="E143" s="51"/>
      <c r="F143" s="51"/>
      <c r="G143" s="51"/>
      <c r="H143" s="4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 ht="15.75" customHeight="1">
      <c r="A144" s="41"/>
      <c r="B144" s="51"/>
      <c r="C144" s="41"/>
      <c r="D144" s="51"/>
      <c r="E144" s="51"/>
      <c r="F144" s="51"/>
      <c r="G144" s="51"/>
      <c r="H144" s="4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 ht="15.75" customHeight="1">
      <c r="A145" s="41"/>
      <c r="B145" s="51"/>
      <c r="C145" s="41"/>
      <c r="D145" s="51"/>
      <c r="E145" s="51"/>
      <c r="F145" s="51"/>
      <c r="G145" s="51"/>
      <c r="H145" s="4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 ht="15.75" customHeight="1">
      <c r="A146" s="41"/>
      <c r="B146" s="51"/>
      <c r="C146" s="41"/>
      <c r="D146" s="51"/>
      <c r="E146" s="51"/>
      <c r="F146" s="51"/>
      <c r="G146" s="51"/>
      <c r="H146" s="4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 ht="15.75" customHeight="1">
      <c r="A147" s="41"/>
      <c r="B147" s="51"/>
      <c r="C147" s="41"/>
      <c r="D147" s="51"/>
      <c r="E147" s="51"/>
      <c r="F147" s="51"/>
      <c r="G147" s="51"/>
      <c r="H147" s="4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ht="15.75" customHeight="1">
      <c r="A148" s="41"/>
      <c r="B148" s="51"/>
      <c r="C148" s="41"/>
      <c r="D148" s="51"/>
      <c r="E148" s="51"/>
      <c r="F148" s="51"/>
      <c r="G148" s="51"/>
      <c r="H148" s="4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 ht="15.75" customHeight="1">
      <c r="A149" s="41"/>
      <c r="B149" s="51"/>
      <c r="C149" s="41"/>
      <c r="D149" s="51"/>
      <c r="E149" s="51"/>
      <c r="F149" s="51"/>
      <c r="G149" s="51"/>
      <c r="H149" s="4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 ht="15.75" customHeight="1">
      <c r="A150" s="41"/>
      <c r="B150" s="51"/>
      <c r="C150" s="41"/>
      <c r="D150" s="51"/>
      <c r="E150" s="51"/>
      <c r="F150" s="51"/>
      <c r="G150" s="51"/>
      <c r="H150" s="4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 ht="15.75" customHeight="1">
      <c r="A151" s="41"/>
      <c r="B151" s="51"/>
      <c r="C151" s="41"/>
      <c r="D151" s="51"/>
      <c r="E151" s="51"/>
      <c r="F151" s="51"/>
      <c r="G151" s="51"/>
      <c r="H151" s="4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 ht="15.75" customHeight="1">
      <c r="A152" s="41"/>
      <c r="B152" s="51"/>
      <c r="C152" s="41"/>
      <c r="D152" s="51"/>
      <c r="E152" s="51"/>
      <c r="F152" s="51"/>
      <c r="G152" s="51"/>
      <c r="H152" s="4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 ht="15.75" customHeight="1">
      <c r="A153" s="41"/>
      <c r="B153" s="51"/>
      <c r="C153" s="41"/>
      <c r="D153" s="51"/>
      <c r="E153" s="51"/>
      <c r="F153" s="51"/>
      <c r="G153" s="51"/>
      <c r="H153" s="4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 ht="15.75" customHeight="1">
      <c r="A154" s="41"/>
      <c r="B154" s="51"/>
      <c r="C154" s="41"/>
      <c r="D154" s="51"/>
      <c r="E154" s="51"/>
      <c r="F154" s="51"/>
      <c r="G154" s="51"/>
      <c r="H154" s="4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 ht="15.75" customHeight="1">
      <c r="A155" s="41"/>
      <c r="B155" s="51"/>
      <c r="C155" s="41"/>
      <c r="D155" s="51"/>
      <c r="E155" s="51"/>
      <c r="F155" s="51"/>
      <c r="G155" s="51"/>
      <c r="H155" s="4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 ht="15.75" customHeight="1">
      <c r="A156" s="41"/>
      <c r="B156" s="51"/>
      <c r="C156" s="41"/>
      <c r="D156" s="51"/>
      <c r="E156" s="51"/>
      <c r="F156" s="51"/>
      <c r="G156" s="51"/>
      <c r="H156" s="4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 ht="15.75" customHeight="1">
      <c r="A157" s="41"/>
      <c r="B157" s="51"/>
      <c r="C157" s="41"/>
      <c r="D157" s="51"/>
      <c r="E157" s="51"/>
      <c r="F157" s="51"/>
      <c r="G157" s="51"/>
      <c r="H157" s="4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 ht="15.75" customHeight="1">
      <c r="A158" s="41"/>
      <c r="B158" s="51"/>
      <c r="C158" s="41"/>
      <c r="D158" s="51"/>
      <c r="E158" s="51"/>
      <c r="F158" s="51"/>
      <c r="G158" s="51"/>
      <c r="H158" s="4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 ht="15.75" customHeight="1">
      <c r="A159" s="41"/>
      <c r="B159" s="51"/>
      <c r="C159" s="41"/>
      <c r="D159" s="51"/>
      <c r="E159" s="51"/>
      <c r="F159" s="51"/>
      <c r="G159" s="51"/>
      <c r="H159" s="4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 ht="15.75" customHeight="1">
      <c r="A160" s="41"/>
      <c r="B160" s="51"/>
      <c r="C160" s="41"/>
      <c r="D160" s="51"/>
      <c r="E160" s="51"/>
      <c r="F160" s="51"/>
      <c r="G160" s="51"/>
      <c r="H160" s="4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 ht="15.75" customHeight="1">
      <c r="A161" s="41"/>
      <c r="B161" s="51"/>
      <c r="C161" s="41"/>
      <c r="D161" s="51"/>
      <c r="E161" s="51"/>
      <c r="F161" s="51"/>
      <c r="G161" s="51"/>
      <c r="H161" s="4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ht="15.75" customHeight="1">
      <c r="A162" s="41"/>
      <c r="B162" s="51"/>
      <c r="C162" s="41"/>
      <c r="D162" s="51"/>
      <c r="E162" s="51"/>
      <c r="F162" s="51"/>
      <c r="G162" s="51"/>
      <c r="H162" s="4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ht="15.75" customHeight="1">
      <c r="A163" s="41"/>
      <c r="B163" s="51"/>
      <c r="C163" s="41"/>
      <c r="D163" s="51"/>
      <c r="E163" s="51"/>
      <c r="F163" s="51"/>
      <c r="G163" s="51"/>
      <c r="H163" s="4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ht="15.75" customHeight="1">
      <c r="A164" s="41"/>
      <c r="B164" s="51"/>
      <c r="C164" s="41"/>
      <c r="D164" s="51"/>
      <c r="E164" s="51"/>
      <c r="F164" s="51"/>
      <c r="G164" s="51"/>
      <c r="H164" s="4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ht="15.75" customHeight="1">
      <c r="A165" s="41"/>
      <c r="B165" s="51"/>
      <c r="C165" s="41"/>
      <c r="D165" s="51"/>
      <c r="E165" s="51"/>
      <c r="F165" s="51"/>
      <c r="G165" s="51"/>
      <c r="H165" s="4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ht="15.75" customHeight="1">
      <c r="A166" s="41"/>
      <c r="B166" s="51"/>
      <c r="C166" s="41"/>
      <c r="D166" s="51"/>
      <c r="E166" s="51"/>
      <c r="F166" s="51"/>
      <c r="G166" s="51"/>
      <c r="H166" s="4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ht="15.75" customHeight="1">
      <c r="A167" s="41"/>
      <c r="B167" s="51"/>
      <c r="C167" s="41"/>
      <c r="D167" s="51"/>
      <c r="E167" s="51"/>
      <c r="F167" s="51"/>
      <c r="G167" s="51"/>
      <c r="H167" s="4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ht="15.75" customHeight="1">
      <c r="A168" s="41"/>
      <c r="B168" s="51"/>
      <c r="C168" s="41"/>
      <c r="D168" s="51"/>
      <c r="E168" s="51"/>
      <c r="F168" s="51"/>
      <c r="G168" s="51"/>
      <c r="H168" s="4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ht="15.75" customHeight="1">
      <c r="A169" s="41"/>
      <c r="B169" s="51"/>
      <c r="C169" s="41"/>
      <c r="D169" s="51"/>
      <c r="E169" s="51"/>
      <c r="F169" s="51"/>
      <c r="G169" s="51"/>
      <c r="H169" s="4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ht="15.75" customHeight="1">
      <c r="A170" s="41"/>
      <c r="B170" s="51"/>
      <c r="C170" s="41"/>
      <c r="D170" s="51"/>
      <c r="E170" s="51"/>
      <c r="F170" s="51"/>
      <c r="G170" s="51"/>
      <c r="H170" s="4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ht="15.75" customHeight="1">
      <c r="A171" s="41"/>
      <c r="B171" s="51"/>
      <c r="C171" s="41"/>
      <c r="D171" s="51"/>
      <c r="E171" s="51"/>
      <c r="F171" s="51"/>
      <c r="G171" s="51"/>
      <c r="H171" s="4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ht="15.75" customHeight="1">
      <c r="A172" s="41"/>
      <c r="B172" s="51"/>
      <c r="C172" s="41"/>
      <c r="D172" s="51"/>
      <c r="E172" s="51"/>
      <c r="F172" s="51"/>
      <c r="G172" s="51"/>
      <c r="H172" s="4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ht="15.75" customHeight="1">
      <c r="A173" s="41"/>
      <c r="B173" s="51"/>
      <c r="C173" s="41"/>
      <c r="D173" s="51"/>
      <c r="E173" s="51"/>
      <c r="F173" s="51"/>
      <c r="G173" s="51"/>
      <c r="H173" s="4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ht="15.75" customHeight="1">
      <c r="A174" s="41"/>
      <c r="B174" s="51"/>
      <c r="C174" s="41"/>
      <c r="D174" s="51"/>
      <c r="E174" s="51"/>
      <c r="F174" s="51"/>
      <c r="G174" s="51"/>
      <c r="H174" s="4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ht="15.75" customHeight="1">
      <c r="A175" s="41"/>
      <c r="B175" s="51"/>
      <c r="C175" s="41"/>
      <c r="D175" s="51"/>
      <c r="E175" s="51"/>
      <c r="F175" s="51"/>
      <c r="G175" s="51"/>
      <c r="H175" s="4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ht="15.75" customHeight="1">
      <c r="A176" s="41"/>
      <c r="B176" s="51"/>
      <c r="C176" s="41"/>
      <c r="D176" s="51"/>
      <c r="E176" s="51"/>
      <c r="F176" s="51"/>
      <c r="G176" s="51"/>
      <c r="H176" s="4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ht="15.75" customHeight="1">
      <c r="A177" s="41"/>
      <c r="B177" s="51"/>
      <c r="C177" s="41"/>
      <c r="D177" s="51"/>
      <c r="E177" s="51"/>
      <c r="F177" s="51"/>
      <c r="G177" s="51"/>
      <c r="H177" s="4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ht="15.75" customHeight="1">
      <c r="A178" s="41"/>
      <c r="B178" s="51"/>
      <c r="C178" s="41"/>
      <c r="D178" s="51"/>
      <c r="E178" s="51"/>
      <c r="F178" s="51"/>
      <c r="G178" s="51"/>
      <c r="H178" s="4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ht="15.75" customHeight="1">
      <c r="A179" s="41"/>
      <c r="B179" s="51"/>
      <c r="C179" s="41"/>
      <c r="D179" s="51"/>
      <c r="E179" s="51"/>
      <c r="F179" s="51"/>
      <c r="G179" s="51"/>
      <c r="H179" s="4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ht="15.75" customHeight="1">
      <c r="A180" s="41"/>
      <c r="B180" s="51"/>
      <c r="C180" s="41"/>
      <c r="D180" s="51"/>
      <c r="E180" s="51"/>
      <c r="F180" s="51"/>
      <c r="G180" s="51"/>
      <c r="H180" s="4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ht="15.75" customHeight="1">
      <c r="A181" s="41"/>
      <c r="B181" s="51"/>
      <c r="C181" s="41"/>
      <c r="D181" s="51"/>
      <c r="E181" s="51"/>
      <c r="F181" s="51"/>
      <c r="G181" s="51"/>
      <c r="H181" s="4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ht="15.75" customHeight="1">
      <c r="A182" s="41"/>
      <c r="B182" s="51"/>
      <c r="C182" s="41"/>
      <c r="D182" s="51"/>
      <c r="E182" s="51"/>
      <c r="F182" s="51"/>
      <c r="G182" s="51"/>
      <c r="H182" s="4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ht="15.75" customHeight="1">
      <c r="A183" s="41"/>
      <c r="B183" s="51"/>
      <c r="C183" s="41"/>
      <c r="D183" s="51"/>
      <c r="E183" s="51"/>
      <c r="F183" s="51"/>
      <c r="G183" s="51"/>
      <c r="H183" s="4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ht="15.75" customHeight="1">
      <c r="A184" s="41"/>
      <c r="B184" s="51"/>
      <c r="C184" s="41"/>
      <c r="D184" s="51"/>
      <c r="E184" s="51"/>
      <c r="F184" s="51"/>
      <c r="G184" s="51"/>
      <c r="H184" s="4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ht="15.75" customHeight="1">
      <c r="A185" s="41"/>
      <c r="B185" s="51"/>
      <c r="C185" s="41"/>
      <c r="D185" s="51"/>
      <c r="E185" s="51"/>
      <c r="F185" s="51"/>
      <c r="G185" s="51"/>
      <c r="H185" s="4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ht="15.75" customHeight="1">
      <c r="A186" s="41"/>
      <c r="B186" s="51"/>
      <c r="C186" s="41"/>
      <c r="D186" s="51"/>
      <c r="E186" s="51"/>
      <c r="F186" s="51"/>
      <c r="G186" s="51"/>
      <c r="H186" s="4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ht="15.75" customHeight="1">
      <c r="A187" s="41"/>
      <c r="B187" s="51"/>
      <c r="C187" s="41"/>
      <c r="D187" s="51"/>
      <c r="E187" s="51"/>
      <c r="F187" s="51"/>
      <c r="G187" s="51"/>
      <c r="H187" s="4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ht="15.75" customHeight="1">
      <c r="A188" s="41"/>
      <c r="B188" s="51"/>
      <c r="C188" s="41"/>
      <c r="D188" s="51"/>
      <c r="E188" s="51"/>
      <c r="F188" s="51"/>
      <c r="G188" s="51"/>
      <c r="H188" s="4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ht="15.75" customHeight="1">
      <c r="A189" s="41"/>
      <c r="B189" s="51"/>
      <c r="C189" s="41"/>
      <c r="D189" s="51"/>
      <c r="E189" s="51"/>
      <c r="F189" s="51"/>
      <c r="G189" s="51"/>
      <c r="H189" s="4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ht="15.75" customHeight="1">
      <c r="A190" s="41"/>
      <c r="B190" s="51"/>
      <c r="C190" s="41"/>
      <c r="D190" s="51"/>
      <c r="E190" s="51"/>
      <c r="F190" s="51"/>
      <c r="G190" s="51"/>
      <c r="H190" s="4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ht="15.75" customHeight="1">
      <c r="A191" s="41"/>
      <c r="B191" s="51"/>
      <c r="C191" s="41"/>
      <c r="D191" s="51"/>
      <c r="E191" s="51"/>
      <c r="F191" s="51"/>
      <c r="G191" s="51"/>
      <c r="H191" s="4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ht="15.75" customHeight="1">
      <c r="A192" s="41"/>
      <c r="B192" s="51"/>
      <c r="C192" s="41"/>
      <c r="D192" s="51"/>
      <c r="E192" s="51"/>
      <c r="F192" s="51"/>
      <c r="G192" s="51"/>
      <c r="H192" s="4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ht="15.75" customHeight="1">
      <c r="A193" s="41"/>
      <c r="B193" s="51"/>
      <c r="C193" s="41"/>
      <c r="D193" s="51"/>
      <c r="E193" s="51"/>
      <c r="F193" s="51"/>
      <c r="G193" s="51"/>
      <c r="H193" s="4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ht="15.75" customHeight="1">
      <c r="A194" s="41"/>
      <c r="B194" s="51"/>
      <c r="C194" s="41"/>
      <c r="D194" s="51"/>
      <c r="E194" s="51"/>
      <c r="F194" s="51"/>
      <c r="G194" s="51"/>
      <c r="H194" s="4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ht="15.75" customHeight="1">
      <c r="A195" s="41"/>
      <c r="B195" s="51"/>
      <c r="C195" s="41"/>
      <c r="D195" s="51"/>
      <c r="E195" s="51"/>
      <c r="F195" s="51"/>
      <c r="G195" s="51"/>
      <c r="H195" s="4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ht="15.75" customHeight="1">
      <c r="A196" s="41"/>
      <c r="B196" s="51"/>
      <c r="C196" s="41"/>
      <c r="D196" s="51"/>
      <c r="E196" s="51"/>
      <c r="F196" s="51"/>
      <c r="G196" s="51"/>
      <c r="H196" s="4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ht="15.75" customHeight="1">
      <c r="A197" s="41"/>
      <c r="B197" s="51"/>
      <c r="C197" s="41"/>
      <c r="D197" s="51"/>
      <c r="E197" s="51"/>
      <c r="F197" s="51"/>
      <c r="G197" s="51"/>
      <c r="H197" s="4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ht="15.75" customHeight="1">
      <c r="A198" s="41"/>
      <c r="B198" s="51"/>
      <c r="C198" s="41"/>
      <c r="D198" s="51"/>
      <c r="E198" s="51"/>
      <c r="F198" s="51"/>
      <c r="G198" s="51"/>
      <c r="H198" s="4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ht="15.75" customHeight="1">
      <c r="A199" s="41"/>
      <c r="B199" s="51"/>
      <c r="C199" s="41"/>
      <c r="D199" s="51"/>
      <c r="E199" s="51"/>
      <c r="F199" s="51"/>
      <c r="G199" s="51"/>
      <c r="H199" s="4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 ht="15.75" customHeight="1">
      <c r="A200" s="41"/>
      <c r="B200" s="51"/>
      <c r="C200" s="41"/>
      <c r="D200" s="51"/>
      <c r="E200" s="51"/>
      <c r="F200" s="51"/>
      <c r="G200" s="51"/>
      <c r="H200" s="4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 ht="15.75" customHeight="1">
      <c r="A201" s="41"/>
      <c r="B201" s="51"/>
      <c r="C201" s="41"/>
      <c r="D201" s="51"/>
      <c r="E201" s="51"/>
      <c r="F201" s="51"/>
      <c r="G201" s="51"/>
      <c r="H201" s="4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 ht="15.75" customHeight="1">
      <c r="A202" s="41"/>
      <c r="B202" s="51"/>
      <c r="C202" s="41"/>
      <c r="D202" s="51"/>
      <c r="E202" s="51"/>
      <c r="F202" s="51"/>
      <c r="G202" s="51"/>
      <c r="H202" s="4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 ht="15.75" customHeight="1">
      <c r="A203" s="41"/>
      <c r="B203" s="51"/>
      <c r="C203" s="41"/>
      <c r="D203" s="51"/>
      <c r="E203" s="51"/>
      <c r="F203" s="51"/>
      <c r="G203" s="51"/>
      <c r="H203" s="4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 ht="15.75" customHeight="1">
      <c r="A204" s="41"/>
      <c r="B204" s="51"/>
      <c r="C204" s="41"/>
      <c r="D204" s="51"/>
      <c r="E204" s="51"/>
      <c r="F204" s="51"/>
      <c r="G204" s="51"/>
      <c r="H204" s="4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 ht="15.75" customHeight="1">
      <c r="A205" s="41"/>
      <c r="B205" s="51"/>
      <c r="C205" s="41"/>
      <c r="D205" s="51"/>
      <c r="E205" s="51"/>
      <c r="F205" s="51"/>
      <c r="G205" s="51"/>
      <c r="H205" s="4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 ht="15.75" customHeight="1">
      <c r="A206" s="41"/>
      <c r="B206" s="51"/>
      <c r="C206" s="41"/>
      <c r="D206" s="51"/>
      <c r="E206" s="51"/>
      <c r="F206" s="51"/>
      <c r="G206" s="51"/>
      <c r="H206" s="4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 ht="15.75" customHeight="1">
      <c r="A207" s="41"/>
      <c r="B207" s="51"/>
      <c r="C207" s="41"/>
      <c r="D207" s="51"/>
      <c r="E207" s="51"/>
      <c r="F207" s="51"/>
      <c r="G207" s="51"/>
      <c r="H207" s="4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 ht="15.75" customHeight="1">
      <c r="A208" s="41"/>
      <c r="B208" s="51"/>
      <c r="C208" s="41"/>
      <c r="D208" s="51"/>
      <c r="E208" s="51"/>
      <c r="F208" s="51"/>
      <c r="G208" s="51"/>
      <c r="H208" s="4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 ht="15.75" customHeight="1">
      <c r="A209" s="41"/>
      <c r="B209" s="51"/>
      <c r="C209" s="41"/>
      <c r="D209" s="51"/>
      <c r="E209" s="51"/>
      <c r="F209" s="51"/>
      <c r="G209" s="51"/>
      <c r="H209" s="4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 ht="15.75" customHeight="1">
      <c r="A210" s="41"/>
      <c r="B210" s="51"/>
      <c r="C210" s="41"/>
      <c r="D210" s="51"/>
      <c r="E210" s="51"/>
      <c r="F210" s="51"/>
      <c r="G210" s="51"/>
      <c r="H210" s="4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 ht="15.75" customHeight="1">
      <c r="A211" s="41"/>
      <c r="B211" s="51"/>
      <c r="C211" s="41"/>
      <c r="D211" s="51"/>
      <c r="E211" s="51"/>
      <c r="F211" s="51"/>
      <c r="G211" s="51"/>
      <c r="H211" s="4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 ht="15.75" customHeight="1">
      <c r="A212" s="41"/>
      <c r="B212" s="51"/>
      <c r="C212" s="41"/>
      <c r="D212" s="51"/>
      <c r="E212" s="51"/>
      <c r="F212" s="51"/>
      <c r="G212" s="51"/>
      <c r="H212" s="4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 ht="15.75" customHeight="1">
      <c r="A213" s="41"/>
      <c r="B213" s="51"/>
      <c r="C213" s="41"/>
      <c r="D213" s="51"/>
      <c r="E213" s="51"/>
      <c r="F213" s="51"/>
      <c r="G213" s="51"/>
      <c r="H213" s="4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 ht="15.75" customHeight="1">
      <c r="A214" s="41"/>
      <c r="B214" s="51"/>
      <c r="C214" s="41"/>
      <c r="D214" s="51"/>
      <c r="E214" s="51"/>
      <c r="F214" s="51"/>
      <c r="G214" s="51"/>
      <c r="H214" s="4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 ht="15.75" customHeight="1">
      <c r="A215" s="41"/>
      <c r="B215" s="51"/>
      <c r="C215" s="41"/>
      <c r="D215" s="51"/>
      <c r="E215" s="51"/>
      <c r="F215" s="51"/>
      <c r="G215" s="51"/>
      <c r="H215" s="4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 ht="15.75" customHeight="1">
      <c r="A216" s="41"/>
      <c r="B216" s="51"/>
      <c r="C216" s="41"/>
      <c r="D216" s="51"/>
      <c r="E216" s="51"/>
      <c r="F216" s="51"/>
      <c r="G216" s="51"/>
      <c r="H216" s="4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 ht="15.75" customHeight="1">
      <c r="A217" s="41"/>
      <c r="B217" s="51"/>
      <c r="C217" s="41"/>
      <c r="D217" s="51"/>
      <c r="E217" s="51"/>
      <c r="F217" s="51"/>
      <c r="G217" s="51"/>
      <c r="H217" s="4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 ht="15.75" customHeight="1">
      <c r="A218" s="41"/>
      <c r="B218" s="51"/>
      <c r="C218" s="41"/>
      <c r="D218" s="51"/>
      <c r="E218" s="51"/>
      <c r="F218" s="51"/>
      <c r="G218" s="51"/>
      <c r="H218" s="4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 ht="15.75" customHeight="1">
      <c r="A219" s="41"/>
      <c r="B219" s="51"/>
      <c r="C219" s="41"/>
      <c r="D219" s="51"/>
      <c r="E219" s="51"/>
      <c r="F219" s="51"/>
      <c r="G219" s="51"/>
      <c r="H219" s="4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 ht="15.75" customHeight="1">
      <c r="A220" s="41"/>
      <c r="B220" s="51"/>
      <c r="C220" s="41"/>
      <c r="D220" s="51"/>
      <c r="E220" s="51"/>
      <c r="F220" s="51"/>
      <c r="G220" s="51"/>
      <c r="H220" s="4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 ht="15.75" customHeight="1">
      <c r="A221" s="41"/>
      <c r="B221" s="51"/>
      <c r="C221" s="41"/>
      <c r="D221" s="51"/>
      <c r="E221" s="51"/>
      <c r="F221" s="51"/>
      <c r="G221" s="51"/>
      <c r="H221" s="4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 ht="15.75" customHeight="1">
      <c r="A222" s="41"/>
      <c r="B222" s="51"/>
      <c r="C222" s="41"/>
      <c r="D222" s="51"/>
      <c r="E222" s="51"/>
      <c r="F222" s="51"/>
      <c r="G222" s="51"/>
      <c r="H222" s="4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 ht="15.75" customHeight="1">
      <c r="A223" s="41"/>
      <c r="B223" s="51"/>
      <c r="C223" s="41"/>
      <c r="D223" s="51"/>
      <c r="E223" s="51"/>
      <c r="F223" s="51"/>
      <c r="G223" s="51"/>
      <c r="H223" s="4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 ht="15.75" customHeight="1">
      <c r="A224" s="41"/>
      <c r="B224" s="51"/>
      <c r="C224" s="41"/>
      <c r="D224" s="51"/>
      <c r="E224" s="51"/>
      <c r="F224" s="51"/>
      <c r="G224" s="51"/>
      <c r="H224" s="4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 ht="15.75" customHeight="1">
      <c r="A225" s="41"/>
      <c r="B225" s="51"/>
      <c r="C225" s="41"/>
      <c r="D225" s="51"/>
      <c r="E225" s="51"/>
      <c r="F225" s="51"/>
      <c r="G225" s="51"/>
      <c r="H225" s="4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 ht="15.75" customHeight="1">
      <c r="A226" s="41"/>
      <c r="B226" s="51"/>
      <c r="C226" s="41"/>
      <c r="D226" s="51"/>
      <c r="E226" s="51"/>
      <c r="F226" s="51"/>
      <c r="G226" s="51"/>
      <c r="H226" s="4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 ht="15.75" customHeight="1">
      <c r="A227" s="41"/>
      <c r="B227" s="51"/>
      <c r="C227" s="41"/>
      <c r="D227" s="51"/>
      <c r="E227" s="51"/>
      <c r="F227" s="51"/>
      <c r="G227" s="51"/>
      <c r="H227" s="4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 ht="15.75" customHeight="1">
      <c r="A228" s="41"/>
      <c r="B228" s="51"/>
      <c r="C228" s="41"/>
      <c r="D228" s="51"/>
      <c r="E228" s="51"/>
      <c r="F228" s="51"/>
      <c r="G228" s="51"/>
      <c r="H228" s="4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 ht="15.75" customHeight="1">
      <c r="A229" s="41"/>
      <c r="B229" s="51"/>
      <c r="C229" s="41"/>
      <c r="D229" s="51"/>
      <c r="E229" s="51"/>
      <c r="F229" s="51"/>
      <c r="G229" s="51"/>
      <c r="H229" s="4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 ht="15.75" customHeight="1">
      <c r="A230" s="41"/>
      <c r="B230" s="51"/>
      <c r="C230" s="41"/>
      <c r="D230" s="51"/>
      <c r="E230" s="51"/>
      <c r="F230" s="51"/>
      <c r="G230" s="51"/>
      <c r="H230" s="4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 ht="15.75" customHeight="1">
      <c r="A231" s="41"/>
      <c r="B231" s="51"/>
      <c r="C231" s="41"/>
      <c r="D231" s="51"/>
      <c r="E231" s="51"/>
      <c r="F231" s="51"/>
      <c r="G231" s="51"/>
      <c r="H231" s="4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 ht="15.75" customHeight="1">
      <c r="A232" s="41"/>
      <c r="B232" s="51"/>
      <c r="C232" s="41"/>
      <c r="D232" s="51"/>
      <c r="E232" s="51"/>
      <c r="F232" s="51"/>
      <c r="G232" s="51"/>
      <c r="H232" s="4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 ht="15.75" customHeight="1">
      <c r="A233" s="41"/>
      <c r="B233" s="51"/>
      <c r="C233" s="41"/>
      <c r="D233" s="51"/>
      <c r="E233" s="51"/>
      <c r="F233" s="51"/>
      <c r="G233" s="51"/>
      <c r="H233" s="4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 ht="15.75" customHeight="1">
      <c r="A234" s="41"/>
      <c r="B234" s="51"/>
      <c r="C234" s="41"/>
      <c r="D234" s="51"/>
      <c r="E234" s="51"/>
      <c r="F234" s="51"/>
      <c r="G234" s="51"/>
      <c r="H234" s="4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 ht="15.75" customHeight="1">
      <c r="A235" s="41"/>
      <c r="B235" s="51"/>
      <c r="C235" s="41"/>
      <c r="D235" s="51"/>
      <c r="E235" s="51"/>
      <c r="F235" s="51"/>
      <c r="G235" s="51"/>
      <c r="H235" s="4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 ht="15.75" customHeight="1">
      <c r="A236" s="41"/>
      <c r="B236" s="51"/>
      <c r="C236" s="41"/>
      <c r="D236" s="51"/>
      <c r="E236" s="51"/>
      <c r="F236" s="51"/>
      <c r="G236" s="51"/>
      <c r="H236" s="4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 ht="15.75" customHeight="1">
      <c r="A237" s="41"/>
      <c r="B237" s="51"/>
      <c r="C237" s="41"/>
      <c r="D237" s="51"/>
      <c r="E237" s="51"/>
      <c r="F237" s="51"/>
      <c r="G237" s="51"/>
      <c r="H237" s="4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 ht="15.75" customHeight="1">
      <c r="A238" s="41"/>
      <c r="C238" s="41"/>
      <c r="H238" s="41"/>
    </row>
    <row r="239" ht="15.75" customHeight="1">
      <c r="A239" s="41"/>
      <c r="C239" s="41"/>
      <c r="H239" s="41"/>
    </row>
    <row r="240" ht="15.75" customHeight="1">
      <c r="A240" s="41"/>
      <c r="C240" s="41"/>
      <c r="H240" s="41"/>
    </row>
    <row r="241" ht="15.75" customHeight="1">
      <c r="A241" s="41"/>
      <c r="C241" s="41"/>
      <c r="H241" s="41"/>
    </row>
    <row r="242" ht="15.75" customHeight="1">
      <c r="A242" s="41"/>
      <c r="C242" s="41"/>
      <c r="H242" s="41"/>
    </row>
    <row r="243" ht="15.75" customHeight="1">
      <c r="A243" s="41"/>
      <c r="C243" s="41"/>
      <c r="H243" s="41"/>
    </row>
    <row r="244" ht="15.75" customHeight="1">
      <c r="A244" s="41"/>
      <c r="C244" s="41"/>
      <c r="H244" s="41"/>
    </row>
    <row r="245" ht="15.75" customHeight="1">
      <c r="A245" s="41"/>
      <c r="C245" s="41"/>
      <c r="H245" s="41"/>
    </row>
    <row r="246" ht="15.75" customHeight="1">
      <c r="A246" s="41"/>
      <c r="C246" s="41"/>
      <c r="H246" s="41"/>
    </row>
    <row r="247" ht="15.75" customHeight="1">
      <c r="A247" s="41"/>
      <c r="C247" s="41"/>
      <c r="H247" s="41"/>
    </row>
    <row r="248" ht="15.75" customHeight="1">
      <c r="A248" s="41"/>
      <c r="C248" s="41"/>
      <c r="H248" s="41"/>
    </row>
    <row r="249" ht="15.75" customHeight="1">
      <c r="A249" s="41"/>
      <c r="C249" s="41"/>
      <c r="H249" s="41"/>
    </row>
    <row r="250" ht="15.75" customHeight="1">
      <c r="A250" s="41"/>
      <c r="C250" s="41"/>
      <c r="H250" s="41"/>
    </row>
    <row r="251" ht="15.75" customHeight="1">
      <c r="A251" s="41"/>
      <c r="C251" s="41"/>
      <c r="H251" s="41"/>
    </row>
    <row r="252" ht="15.75" customHeight="1">
      <c r="A252" s="41"/>
      <c r="C252" s="41"/>
      <c r="H252" s="41"/>
    </row>
    <row r="253" ht="15.75" customHeight="1">
      <c r="A253" s="41"/>
      <c r="C253" s="41"/>
      <c r="H253" s="41"/>
    </row>
    <row r="254" ht="15.75" customHeight="1">
      <c r="A254" s="41"/>
      <c r="C254" s="41"/>
      <c r="H254" s="41"/>
    </row>
    <row r="255" ht="15.75" customHeight="1">
      <c r="A255" s="41"/>
      <c r="C255" s="41"/>
      <c r="H255" s="41"/>
    </row>
    <row r="256" ht="15.75" customHeight="1">
      <c r="A256" s="41"/>
      <c r="C256" s="41"/>
      <c r="H256" s="41"/>
    </row>
    <row r="257" ht="15.75" customHeight="1">
      <c r="A257" s="41"/>
      <c r="C257" s="41"/>
      <c r="H257" s="41"/>
    </row>
    <row r="258" ht="15.75" customHeight="1">
      <c r="A258" s="41"/>
      <c r="C258" s="41"/>
      <c r="H258" s="41"/>
    </row>
    <row r="259" ht="15.75" customHeight="1">
      <c r="A259" s="41"/>
      <c r="C259" s="41"/>
      <c r="H259" s="41"/>
    </row>
    <row r="260" ht="15.75" customHeight="1">
      <c r="A260" s="41"/>
      <c r="C260" s="41"/>
      <c r="H260" s="41"/>
    </row>
    <row r="261" ht="15.75" customHeight="1">
      <c r="A261" s="41"/>
      <c r="C261" s="41"/>
      <c r="H261" s="41"/>
    </row>
    <row r="262" ht="15.75" customHeight="1">
      <c r="A262" s="41"/>
      <c r="C262" s="41"/>
      <c r="H262" s="41"/>
    </row>
    <row r="263" ht="15.75" customHeight="1">
      <c r="A263" s="41"/>
      <c r="C263" s="41"/>
      <c r="H263" s="41"/>
    </row>
    <row r="264" ht="15.75" customHeight="1">
      <c r="A264" s="41"/>
      <c r="C264" s="41"/>
      <c r="H264" s="41"/>
    </row>
    <row r="265" ht="15.75" customHeight="1">
      <c r="A265" s="41"/>
      <c r="C265" s="41"/>
      <c r="H265" s="41"/>
    </row>
    <row r="266" ht="15.75" customHeight="1">
      <c r="A266" s="41"/>
      <c r="C266" s="41"/>
      <c r="H266" s="41"/>
    </row>
    <row r="267" ht="15.75" customHeight="1">
      <c r="A267" s="41"/>
      <c r="C267" s="41"/>
      <c r="H267" s="41"/>
    </row>
    <row r="268" ht="15.75" customHeight="1">
      <c r="A268" s="41"/>
      <c r="C268" s="41"/>
      <c r="H268" s="41"/>
    </row>
    <row r="269" ht="15.75" customHeight="1">
      <c r="A269" s="41"/>
      <c r="C269" s="41"/>
      <c r="H269" s="41"/>
    </row>
    <row r="270" ht="15.75" customHeight="1">
      <c r="A270" s="41"/>
      <c r="C270" s="41"/>
      <c r="H270" s="41"/>
    </row>
    <row r="271" ht="15.75" customHeight="1">
      <c r="A271" s="41"/>
      <c r="C271" s="41"/>
      <c r="H271" s="41"/>
    </row>
    <row r="272" ht="15.75" customHeight="1">
      <c r="A272" s="41"/>
      <c r="C272" s="41"/>
      <c r="H272" s="41"/>
    </row>
    <row r="273" ht="15.75" customHeight="1">
      <c r="A273" s="41"/>
      <c r="C273" s="41"/>
      <c r="H273" s="41"/>
    </row>
    <row r="274" ht="15.75" customHeight="1">
      <c r="A274" s="41"/>
      <c r="C274" s="41"/>
      <c r="H274" s="41"/>
    </row>
    <row r="275" ht="15.75" customHeight="1">
      <c r="A275" s="41"/>
      <c r="C275" s="41"/>
      <c r="H275" s="41"/>
    </row>
    <row r="276" ht="15.75" customHeight="1">
      <c r="A276" s="41"/>
      <c r="C276" s="41"/>
      <c r="H276" s="41"/>
    </row>
    <row r="277" ht="15.75" customHeight="1">
      <c r="A277" s="41"/>
      <c r="C277" s="41"/>
      <c r="H277" s="41"/>
    </row>
    <row r="278" ht="15.75" customHeight="1">
      <c r="A278" s="41"/>
      <c r="C278" s="41"/>
      <c r="H278" s="41"/>
    </row>
    <row r="279" ht="15.75" customHeight="1">
      <c r="A279" s="41"/>
      <c r="C279" s="41"/>
      <c r="H279" s="41"/>
    </row>
    <row r="280" ht="15.75" customHeight="1">
      <c r="A280" s="41"/>
      <c r="C280" s="41"/>
      <c r="H280" s="41"/>
    </row>
    <row r="281" ht="15.75" customHeight="1">
      <c r="A281" s="41"/>
      <c r="C281" s="41"/>
      <c r="H281" s="41"/>
    </row>
    <row r="282" ht="15.75" customHeight="1">
      <c r="A282" s="41"/>
      <c r="C282" s="41"/>
      <c r="H282" s="41"/>
    </row>
    <row r="283" ht="15.75" customHeight="1">
      <c r="A283" s="41"/>
      <c r="C283" s="41"/>
      <c r="H283" s="41"/>
    </row>
    <row r="284" ht="15.75" customHeight="1">
      <c r="A284" s="41"/>
      <c r="C284" s="41"/>
      <c r="H284" s="41"/>
    </row>
    <row r="285" ht="15.75" customHeight="1">
      <c r="A285" s="41"/>
      <c r="C285" s="41"/>
      <c r="H285" s="41"/>
    </row>
    <row r="286" ht="15.75" customHeight="1">
      <c r="A286" s="41"/>
      <c r="C286" s="41"/>
      <c r="H286" s="41"/>
    </row>
    <row r="287" ht="15.75" customHeight="1">
      <c r="A287" s="41"/>
      <c r="C287" s="41"/>
      <c r="H287" s="41"/>
    </row>
    <row r="288" ht="15.75" customHeight="1">
      <c r="A288" s="41"/>
      <c r="C288" s="41"/>
      <c r="H288" s="41"/>
    </row>
    <row r="289" ht="15.75" customHeight="1">
      <c r="A289" s="41"/>
      <c r="C289" s="41"/>
      <c r="H289" s="41"/>
    </row>
    <row r="290" ht="15.75" customHeight="1">
      <c r="A290" s="41"/>
      <c r="C290" s="41"/>
      <c r="H290" s="41"/>
    </row>
    <row r="291" ht="15.75" customHeight="1">
      <c r="A291" s="41"/>
      <c r="C291" s="41"/>
      <c r="H291" s="41"/>
    </row>
    <row r="292" ht="15.75" customHeight="1">
      <c r="A292" s="41"/>
      <c r="C292" s="41"/>
      <c r="H292" s="41"/>
    </row>
    <row r="293" ht="15.75" customHeight="1">
      <c r="A293" s="41"/>
      <c r="C293" s="41"/>
      <c r="H293" s="41"/>
    </row>
    <row r="294" ht="15.75" customHeight="1">
      <c r="A294" s="41"/>
      <c r="C294" s="41"/>
      <c r="H294" s="41"/>
    </row>
    <row r="295" ht="15.75" customHeight="1">
      <c r="A295" s="41"/>
      <c r="C295" s="41"/>
      <c r="H295" s="41"/>
    </row>
    <row r="296" ht="15.75" customHeight="1">
      <c r="A296" s="41"/>
      <c r="C296" s="41"/>
      <c r="H296" s="41"/>
    </row>
    <row r="297" ht="15.75" customHeight="1">
      <c r="A297" s="41"/>
      <c r="C297" s="41"/>
      <c r="H297" s="41"/>
    </row>
    <row r="298" ht="15.75" customHeight="1">
      <c r="A298" s="41"/>
      <c r="C298" s="41"/>
      <c r="H298" s="41"/>
    </row>
    <row r="299" ht="15.75" customHeight="1">
      <c r="A299" s="41"/>
      <c r="C299" s="41"/>
      <c r="H299" s="41"/>
    </row>
    <row r="300" ht="15.75" customHeight="1">
      <c r="A300" s="41"/>
      <c r="C300" s="41"/>
      <c r="H300" s="41"/>
    </row>
    <row r="301" ht="15.75" customHeight="1">
      <c r="A301" s="41"/>
      <c r="C301" s="41"/>
      <c r="H301" s="41"/>
    </row>
    <row r="302" ht="15.75" customHeight="1">
      <c r="A302" s="41"/>
      <c r="C302" s="41"/>
      <c r="H302" s="41"/>
    </row>
    <row r="303" ht="15.75" customHeight="1">
      <c r="A303" s="41"/>
      <c r="C303" s="41"/>
      <c r="H303" s="41"/>
    </row>
    <row r="304" ht="15.75" customHeight="1">
      <c r="A304" s="41"/>
      <c r="C304" s="41"/>
      <c r="H304" s="41"/>
    </row>
    <row r="305" ht="15.75" customHeight="1">
      <c r="A305" s="41"/>
      <c r="C305" s="41"/>
      <c r="H305" s="41"/>
    </row>
    <row r="306" ht="15.75" customHeight="1">
      <c r="A306" s="41"/>
      <c r="C306" s="41"/>
      <c r="H306" s="41"/>
    </row>
    <row r="307" ht="15.75" customHeight="1">
      <c r="A307" s="41"/>
      <c r="C307" s="41"/>
      <c r="H307" s="41"/>
    </row>
    <row r="308" ht="15.75" customHeight="1">
      <c r="A308" s="41"/>
      <c r="C308" s="41"/>
      <c r="H308" s="41"/>
    </row>
    <row r="309" ht="15.75" customHeight="1">
      <c r="A309" s="41"/>
      <c r="C309" s="41"/>
      <c r="H309" s="41"/>
    </row>
    <row r="310" ht="15.75" customHeight="1">
      <c r="A310" s="41"/>
      <c r="C310" s="41"/>
      <c r="H310" s="41"/>
    </row>
    <row r="311" ht="15.75" customHeight="1">
      <c r="A311" s="41"/>
      <c r="C311" s="41"/>
      <c r="H311" s="41"/>
    </row>
    <row r="312" ht="15.75" customHeight="1">
      <c r="A312" s="41"/>
      <c r="C312" s="41"/>
      <c r="H312" s="41"/>
    </row>
    <row r="313" ht="15.75" customHeight="1">
      <c r="A313" s="41"/>
      <c r="C313" s="41"/>
      <c r="H313" s="41"/>
    </row>
    <row r="314" ht="15.75" customHeight="1">
      <c r="A314" s="41"/>
      <c r="C314" s="41"/>
      <c r="H314" s="41"/>
    </row>
    <row r="315" ht="15.75" customHeight="1">
      <c r="A315" s="41"/>
      <c r="C315" s="41"/>
      <c r="H315" s="41"/>
    </row>
    <row r="316" ht="15.75" customHeight="1">
      <c r="A316" s="41"/>
      <c r="C316" s="41"/>
      <c r="H316" s="41"/>
    </row>
    <row r="317" ht="15.75" customHeight="1">
      <c r="A317" s="41"/>
      <c r="C317" s="41"/>
      <c r="H317" s="41"/>
    </row>
    <row r="318" ht="15.75" customHeight="1">
      <c r="A318" s="41"/>
      <c r="C318" s="41"/>
      <c r="H318" s="41"/>
    </row>
    <row r="319" ht="15.75" customHeight="1">
      <c r="A319" s="41"/>
      <c r="C319" s="41"/>
      <c r="H319" s="41"/>
    </row>
    <row r="320" ht="15.75" customHeight="1">
      <c r="A320" s="41"/>
      <c r="C320" s="41"/>
      <c r="H320" s="41"/>
    </row>
    <row r="321" ht="15.75" customHeight="1">
      <c r="A321" s="41"/>
      <c r="C321" s="41"/>
      <c r="H321" s="41"/>
    </row>
    <row r="322" ht="15.75" customHeight="1">
      <c r="A322" s="41"/>
      <c r="C322" s="41"/>
      <c r="H322" s="41"/>
    </row>
    <row r="323" ht="15.75" customHeight="1">
      <c r="A323" s="41"/>
      <c r="C323" s="41"/>
      <c r="H323" s="41"/>
    </row>
    <row r="324" ht="15.75" customHeight="1">
      <c r="A324" s="41"/>
      <c r="C324" s="41"/>
      <c r="H324" s="41"/>
    </row>
    <row r="325" ht="15.75" customHeight="1">
      <c r="A325" s="41"/>
      <c r="C325" s="41"/>
      <c r="H325" s="41"/>
    </row>
    <row r="326" ht="15.75" customHeight="1">
      <c r="A326" s="41"/>
      <c r="C326" s="41"/>
      <c r="H326" s="41"/>
    </row>
    <row r="327" ht="15.75" customHeight="1">
      <c r="A327" s="41"/>
      <c r="C327" s="41"/>
      <c r="H327" s="41"/>
    </row>
    <row r="328" ht="15.75" customHeight="1">
      <c r="A328" s="41"/>
      <c r="C328" s="41"/>
      <c r="H328" s="41"/>
    </row>
    <row r="329" ht="15.75" customHeight="1">
      <c r="A329" s="41"/>
      <c r="C329" s="41"/>
      <c r="H329" s="41"/>
    </row>
    <row r="330" ht="15.75" customHeight="1">
      <c r="A330" s="41"/>
      <c r="C330" s="41"/>
      <c r="H330" s="41"/>
    </row>
    <row r="331" ht="15.75" customHeight="1">
      <c r="A331" s="41"/>
      <c r="C331" s="41"/>
      <c r="H331" s="41"/>
    </row>
    <row r="332" ht="15.75" customHeight="1">
      <c r="A332" s="41"/>
      <c r="C332" s="41"/>
      <c r="H332" s="41"/>
    </row>
    <row r="333" ht="15.75" customHeight="1">
      <c r="A333" s="41"/>
      <c r="C333" s="41"/>
      <c r="H333" s="41"/>
    </row>
    <row r="334" ht="15.75" customHeight="1">
      <c r="A334" s="41"/>
      <c r="C334" s="41"/>
      <c r="H334" s="41"/>
    </row>
    <row r="335" ht="15.75" customHeight="1">
      <c r="A335" s="41"/>
      <c r="C335" s="41"/>
      <c r="H335" s="41"/>
    </row>
    <row r="336" ht="15.75" customHeight="1">
      <c r="A336" s="41"/>
      <c r="C336" s="41"/>
      <c r="H336" s="41"/>
    </row>
    <row r="337" ht="15.75" customHeight="1">
      <c r="A337" s="41"/>
      <c r="C337" s="41"/>
      <c r="H337" s="41"/>
    </row>
    <row r="338" ht="15.75" customHeight="1">
      <c r="A338" s="41"/>
      <c r="C338" s="41"/>
      <c r="H338" s="41"/>
    </row>
    <row r="339" ht="15.75" customHeight="1">
      <c r="A339" s="41"/>
      <c r="C339" s="41"/>
      <c r="H339" s="41"/>
    </row>
    <row r="340" ht="15.75" customHeight="1">
      <c r="A340" s="41"/>
      <c r="C340" s="41"/>
      <c r="H340" s="41"/>
    </row>
    <row r="341" ht="15.75" customHeight="1">
      <c r="A341" s="41"/>
      <c r="C341" s="41"/>
      <c r="H341" s="41"/>
    </row>
    <row r="342" ht="15.75" customHeight="1">
      <c r="A342" s="41"/>
      <c r="C342" s="41"/>
      <c r="H342" s="41"/>
    </row>
    <row r="343" ht="15.75" customHeight="1">
      <c r="A343" s="41"/>
      <c r="C343" s="41"/>
      <c r="H343" s="41"/>
    </row>
    <row r="344" ht="15.75" customHeight="1">
      <c r="A344" s="41"/>
      <c r="C344" s="41"/>
      <c r="H344" s="41"/>
    </row>
    <row r="345" ht="15.75" customHeight="1">
      <c r="A345" s="41"/>
      <c r="C345" s="41"/>
      <c r="H345" s="41"/>
    </row>
    <row r="346" ht="15.75" customHeight="1">
      <c r="A346" s="41"/>
      <c r="C346" s="41"/>
      <c r="H346" s="41"/>
    </row>
    <row r="347" ht="15.75" customHeight="1">
      <c r="A347" s="41"/>
      <c r="C347" s="41"/>
      <c r="H347" s="41"/>
    </row>
    <row r="348" ht="15.75" customHeight="1">
      <c r="A348" s="41"/>
      <c r="C348" s="41"/>
      <c r="H348" s="41"/>
    </row>
    <row r="349" ht="15.75" customHeight="1">
      <c r="A349" s="41"/>
      <c r="C349" s="41"/>
      <c r="H349" s="41"/>
    </row>
    <row r="350" ht="15.75" customHeight="1">
      <c r="A350" s="41"/>
      <c r="C350" s="41"/>
      <c r="H350" s="41"/>
    </row>
    <row r="351" ht="15.75" customHeight="1">
      <c r="A351" s="41"/>
      <c r="C351" s="41"/>
      <c r="H351" s="41"/>
    </row>
    <row r="352" ht="15.75" customHeight="1">
      <c r="A352" s="41"/>
      <c r="C352" s="41"/>
      <c r="H352" s="41"/>
    </row>
    <row r="353" ht="15.75" customHeight="1">
      <c r="A353" s="41"/>
      <c r="C353" s="41"/>
      <c r="H353" s="41"/>
    </row>
    <row r="354" ht="15.75" customHeight="1">
      <c r="A354" s="41"/>
      <c r="C354" s="41"/>
      <c r="H354" s="41"/>
    </row>
    <row r="355" ht="15.75" customHeight="1">
      <c r="A355" s="41"/>
      <c r="C355" s="41"/>
      <c r="H355" s="41"/>
    </row>
    <row r="356" ht="15.75" customHeight="1">
      <c r="A356" s="41"/>
      <c r="C356" s="41"/>
      <c r="H356" s="41"/>
    </row>
    <row r="357" ht="15.75" customHeight="1">
      <c r="A357" s="41"/>
      <c r="C357" s="41"/>
      <c r="H357" s="41"/>
    </row>
    <row r="358" ht="15.75" customHeight="1">
      <c r="A358" s="41"/>
      <c r="C358" s="41"/>
      <c r="H358" s="41"/>
    </row>
    <row r="359" ht="15.75" customHeight="1">
      <c r="A359" s="41"/>
      <c r="C359" s="41"/>
      <c r="H359" s="41"/>
    </row>
    <row r="360" ht="15.75" customHeight="1">
      <c r="A360" s="41"/>
      <c r="C360" s="41"/>
      <c r="H360" s="41"/>
    </row>
    <row r="361" ht="15.75" customHeight="1">
      <c r="A361" s="41"/>
      <c r="C361" s="41"/>
      <c r="H361" s="41"/>
    </row>
    <row r="362" ht="15.75" customHeight="1">
      <c r="A362" s="41"/>
      <c r="C362" s="41"/>
      <c r="H362" s="41"/>
    </row>
    <row r="363" ht="15.75" customHeight="1">
      <c r="A363" s="41"/>
      <c r="C363" s="41"/>
      <c r="H363" s="41"/>
    </row>
    <row r="364" ht="15.75" customHeight="1">
      <c r="A364" s="41"/>
      <c r="C364" s="41"/>
      <c r="H364" s="41"/>
    </row>
    <row r="365" ht="15.75" customHeight="1">
      <c r="A365" s="41"/>
      <c r="C365" s="41"/>
      <c r="H365" s="41"/>
    </row>
    <row r="366" ht="15.75" customHeight="1">
      <c r="A366" s="41"/>
      <c r="C366" s="41"/>
      <c r="H366" s="41"/>
    </row>
    <row r="367" ht="15.75" customHeight="1">
      <c r="A367" s="41"/>
      <c r="C367" s="41"/>
      <c r="H367" s="41"/>
    </row>
    <row r="368" ht="15.75" customHeight="1">
      <c r="A368" s="41"/>
      <c r="C368" s="41"/>
      <c r="H368" s="41"/>
    </row>
    <row r="369" ht="15.75" customHeight="1">
      <c r="A369" s="41"/>
      <c r="C369" s="41"/>
      <c r="H369" s="41"/>
    </row>
    <row r="370" ht="15.75" customHeight="1">
      <c r="A370" s="41"/>
      <c r="C370" s="41"/>
      <c r="H370" s="41"/>
    </row>
    <row r="371" ht="15.75" customHeight="1">
      <c r="A371" s="41"/>
      <c r="C371" s="41"/>
      <c r="H371" s="41"/>
    </row>
    <row r="372" ht="15.75" customHeight="1">
      <c r="A372" s="41"/>
      <c r="C372" s="41"/>
      <c r="H372" s="41"/>
    </row>
    <row r="373" ht="15.75" customHeight="1">
      <c r="A373" s="41"/>
      <c r="C373" s="41"/>
      <c r="H373" s="41"/>
    </row>
    <row r="374" ht="15.75" customHeight="1">
      <c r="A374" s="41"/>
      <c r="C374" s="41"/>
      <c r="H374" s="41"/>
    </row>
    <row r="375" ht="15.75" customHeight="1">
      <c r="A375" s="41"/>
      <c r="C375" s="41"/>
      <c r="H375" s="41"/>
    </row>
    <row r="376" ht="15.75" customHeight="1">
      <c r="A376" s="41"/>
      <c r="C376" s="41"/>
      <c r="H376" s="41"/>
    </row>
    <row r="377" ht="15.75" customHeight="1">
      <c r="A377" s="41"/>
      <c r="C377" s="41"/>
      <c r="H377" s="41"/>
    </row>
    <row r="378" ht="15.75" customHeight="1">
      <c r="A378" s="41"/>
      <c r="C378" s="41"/>
      <c r="H378" s="41"/>
    </row>
    <row r="379" ht="15.75" customHeight="1">
      <c r="A379" s="41"/>
      <c r="C379" s="41"/>
      <c r="H379" s="41"/>
    </row>
    <row r="380" ht="15.75" customHeight="1">
      <c r="A380" s="41"/>
      <c r="C380" s="41"/>
      <c r="H380" s="41"/>
    </row>
    <row r="381" ht="15.75" customHeight="1">
      <c r="A381" s="41"/>
      <c r="C381" s="41"/>
      <c r="H381" s="41"/>
    </row>
    <row r="382" ht="15.75" customHeight="1">
      <c r="A382" s="41"/>
      <c r="C382" s="41"/>
      <c r="H382" s="41"/>
    </row>
    <row r="383" ht="15.75" customHeight="1">
      <c r="A383" s="41"/>
      <c r="C383" s="41"/>
      <c r="H383" s="41"/>
    </row>
    <row r="384" ht="15.75" customHeight="1">
      <c r="A384" s="41"/>
      <c r="C384" s="41"/>
      <c r="H384" s="41"/>
    </row>
    <row r="385" ht="15.75" customHeight="1">
      <c r="A385" s="41"/>
      <c r="C385" s="41"/>
      <c r="H385" s="41"/>
    </row>
    <row r="386" ht="15.75" customHeight="1">
      <c r="A386" s="41"/>
      <c r="C386" s="41"/>
      <c r="H386" s="41"/>
    </row>
    <row r="387" ht="15.75" customHeight="1">
      <c r="A387" s="41"/>
      <c r="C387" s="41"/>
      <c r="H387" s="41"/>
    </row>
    <row r="388" ht="15.75" customHeight="1">
      <c r="A388" s="41"/>
      <c r="C388" s="41"/>
      <c r="H388" s="41"/>
    </row>
    <row r="389" ht="15.75" customHeight="1">
      <c r="A389" s="41"/>
      <c r="C389" s="41"/>
      <c r="H389" s="41"/>
    </row>
    <row r="390" ht="15.75" customHeight="1">
      <c r="A390" s="41"/>
      <c r="C390" s="41"/>
      <c r="H390" s="41"/>
    </row>
    <row r="391" ht="15.75" customHeight="1">
      <c r="A391" s="41"/>
      <c r="C391" s="41"/>
      <c r="H391" s="41"/>
    </row>
    <row r="392" ht="15.75" customHeight="1">
      <c r="A392" s="41"/>
      <c r="C392" s="41"/>
      <c r="H392" s="41"/>
    </row>
    <row r="393" ht="15.75" customHeight="1">
      <c r="A393" s="41"/>
      <c r="C393" s="41"/>
      <c r="H393" s="41"/>
    </row>
    <row r="394" ht="15.75" customHeight="1">
      <c r="A394" s="41"/>
      <c r="C394" s="41"/>
      <c r="H394" s="41"/>
    </row>
    <row r="395" ht="15.75" customHeight="1">
      <c r="A395" s="41"/>
      <c r="C395" s="41"/>
      <c r="H395" s="41"/>
    </row>
    <row r="396" ht="15.75" customHeight="1">
      <c r="A396" s="41"/>
      <c r="C396" s="41"/>
      <c r="H396" s="41"/>
    </row>
    <row r="397" ht="15.75" customHeight="1">
      <c r="A397" s="41"/>
      <c r="C397" s="41"/>
      <c r="H397" s="41"/>
    </row>
    <row r="398" ht="15.75" customHeight="1">
      <c r="A398" s="41"/>
      <c r="C398" s="41"/>
      <c r="H398" s="41"/>
    </row>
    <row r="399" ht="15.75" customHeight="1">
      <c r="A399" s="41"/>
      <c r="C399" s="41"/>
      <c r="H399" s="41"/>
    </row>
    <row r="400" ht="15.75" customHeight="1">
      <c r="A400" s="41"/>
      <c r="C400" s="41"/>
      <c r="H400" s="41"/>
    </row>
    <row r="401" ht="15.75" customHeight="1">
      <c r="A401" s="41"/>
      <c r="C401" s="41"/>
      <c r="H401" s="41"/>
    </row>
    <row r="402" ht="15.75" customHeight="1">
      <c r="A402" s="41"/>
      <c r="C402" s="41"/>
      <c r="H402" s="41"/>
    </row>
    <row r="403" ht="15.75" customHeight="1">
      <c r="A403" s="41"/>
      <c r="C403" s="41"/>
      <c r="H403" s="41"/>
    </row>
    <row r="404" ht="15.75" customHeight="1">
      <c r="A404" s="41"/>
      <c r="C404" s="41"/>
      <c r="H404" s="41"/>
    </row>
    <row r="405" ht="15.75" customHeight="1">
      <c r="A405" s="41"/>
      <c r="C405" s="41"/>
      <c r="H405" s="41"/>
    </row>
    <row r="406" ht="15.75" customHeight="1">
      <c r="A406" s="41"/>
      <c r="C406" s="41"/>
      <c r="H406" s="41"/>
    </row>
    <row r="407" ht="15.75" customHeight="1">
      <c r="A407" s="41"/>
      <c r="C407" s="41"/>
      <c r="H407" s="41"/>
    </row>
    <row r="408" ht="15.75" customHeight="1">
      <c r="A408" s="41"/>
      <c r="C408" s="41"/>
      <c r="H408" s="41"/>
    </row>
    <row r="409" ht="15.75" customHeight="1">
      <c r="A409" s="41"/>
      <c r="C409" s="41"/>
      <c r="H409" s="41"/>
    </row>
    <row r="410" ht="15.75" customHeight="1">
      <c r="A410" s="41"/>
      <c r="C410" s="41"/>
      <c r="H410" s="41"/>
    </row>
    <row r="411" ht="15.75" customHeight="1">
      <c r="A411" s="41"/>
      <c r="C411" s="41"/>
      <c r="H411" s="41"/>
    </row>
    <row r="412" ht="15.75" customHeight="1">
      <c r="A412" s="41"/>
      <c r="C412" s="41"/>
      <c r="H412" s="41"/>
    </row>
    <row r="413" ht="15.75" customHeight="1">
      <c r="A413" s="41"/>
      <c r="C413" s="41"/>
      <c r="H413" s="41"/>
    </row>
    <row r="414" ht="15.75" customHeight="1">
      <c r="A414" s="41"/>
      <c r="C414" s="41"/>
      <c r="H414" s="41"/>
    </row>
    <row r="415" ht="15.75" customHeight="1">
      <c r="A415" s="41"/>
      <c r="C415" s="41"/>
      <c r="H415" s="41"/>
    </row>
    <row r="416" ht="15.75" customHeight="1">
      <c r="A416" s="41"/>
      <c r="C416" s="41"/>
      <c r="H416" s="41"/>
    </row>
    <row r="417" ht="15.75" customHeight="1">
      <c r="A417" s="41"/>
      <c r="C417" s="41"/>
      <c r="H417" s="41"/>
    </row>
    <row r="418" ht="15.75" customHeight="1">
      <c r="A418" s="41"/>
      <c r="C418" s="41"/>
      <c r="H418" s="41"/>
    </row>
    <row r="419" ht="15.75" customHeight="1">
      <c r="A419" s="41"/>
      <c r="C419" s="41"/>
      <c r="H419" s="41"/>
    </row>
    <row r="420" ht="15.75" customHeight="1">
      <c r="A420" s="41"/>
      <c r="C420" s="41"/>
      <c r="H420" s="41"/>
    </row>
    <row r="421" ht="15.75" customHeight="1">
      <c r="A421" s="41"/>
      <c r="C421" s="41"/>
      <c r="H421" s="41"/>
    </row>
    <row r="422" ht="15.75" customHeight="1">
      <c r="A422" s="41"/>
      <c r="C422" s="41"/>
      <c r="H422" s="41"/>
    </row>
    <row r="423" ht="15.75" customHeight="1">
      <c r="A423" s="41"/>
      <c r="C423" s="41"/>
      <c r="H423" s="41"/>
    </row>
    <row r="424" ht="15.75" customHeight="1">
      <c r="A424" s="41"/>
      <c r="C424" s="41"/>
      <c r="H424" s="41"/>
    </row>
    <row r="425" ht="15.75" customHeight="1">
      <c r="A425" s="41"/>
      <c r="C425" s="41"/>
      <c r="H425" s="41"/>
    </row>
    <row r="426" ht="15.75" customHeight="1">
      <c r="A426" s="41"/>
      <c r="C426" s="41"/>
      <c r="H426" s="41"/>
    </row>
    <row r="427" ht="15.75" customHeight="1">
      <c r="A427" s="41"/>
      <c r="C427" s="41"/>
      <c r="H427" s="41"/>
    </row>
    <row r="428" ht="15.75" customHeight="1">
      <c r="A428" s="41"/>
      <c r="C428" s="41"/>
      <c r="H428" s="41"/>
    </row>
    <row r="429" ht="15.75" customHeight="1">
      <c r="A429" s="41"/>
      <c r="C429" s="41"/>
      <c r="H429" s="41"/>
    </row>
    <row r="430" ht="15.75" customHeight="1">
      <c r="A430" s="41"/>
      <c r="C430" s="41"/>
      <c r="H430" s="41"/>
    </row>
    <row r="431" ht="15.75" customHeight="1">
      <c r="A431" s="41"/>
      <c r="C431" s="41"/>
      <c r="H431" s="41"/>
    </row>
    <row r="432" ht="15.75" customHeight="1">
      <c r="A432" s="41"/>
      <c r="C432" s="41"/>
      <c r="H432" s="41"/>
    </row>
    <row r="433" ht="15.75" customHeight="1">
      <c r="A433" s="41"/>
      <c r="C433" s="41"/>
      <c r="H433" s="41"/>
    </row>
    <row r="434" ht="15.75" customHeight="1">
      <c r="A434" s="41"/>
      <c r="C434" s="41"/>
      <c r="H434" s="41"/>
    </row>
    <row r="435" ht="15.75" customHeight="1">
      <c r="A435" s="41"/>
      <c r="C435" s="41"/>
      <c r="H435" s="41"/>
    </row>
    <row r="436" ht="15.75" customHeight="1">
      <c r="A436" s="41"/>
      <c r="C436" s="41"/>
      <c r="H436" s="41"/>
    </row>
    <row r="437" ht="15.75" customHeight="1">
      <c r="A437" s="41"/>
      <c r="C437" s="41"/>
      <c r="H437" s="41"/>
    </row>
    <row r="438" ht="15.75" customHeight="1">
      <c r="A438" s="41"/>
      <c r="C438" s="41"/>
      <c r="H438" s="41"/>
    </row>
    <row r="439" ht="15.75" customHeight="1">
      <c r="A439" s="41"/>
      <c r="C439" s="41"/>
      <c r="H439" s="41"/>
    </row>
    <row r="440" ht="15.75" customHeight="1">
      <c r="A440" s="41"/>
      <c r="C440" s="41"/>
      <c r="H440" s="41"/>
    </row>
    <row r="441" ht="15.75" customHeight="1">
      <c r="A441" s="41"/>
      <c r="C441" s="41"/>
      <c r="H441" s="41"/>
    </row>
    <row r="442" ht="15.75" customHeight="1">
      <c r="A442" s="41"/>
      <c r="C442" s="41"/>
      <c r="H442" s="41"/>
    </row>
    <row r="443" ht="15.75" customHeight="1">
      <c r="A443" s="41"/>
      <c r="C443" s="41"/>
      <c r="H443" s="41"/>
    </row>
    <row r="444" ht="15.75" customHeight="1">
      <c r="A444" s="41"/>
      <c r="C444" s="41"/>
      <c r="H444" s="41"/>
    </row>
    <row r="445" ht="15.75" customHeight="1">
      <c r="A445" s="41"/>
      <c r="C445" s="41"/>
      <c r="H445" s="41"/>
    </row>
    <row r="446" ht="15.75" customHeight="1">
      <c r="A446" s="41"/>
      <c r="C446" s="41"/>
      <c r="H446" s="41"/>
    </row>
    <row r="447" ht="15.75" customHeight="1">
      <c r="A447" s="41"/>
      <c r="C447" s="41"/>
      <c r="H447" s="41"/>
    </row>
    <row r="448" ht="15.75" customHeight="1">
      <c r="A448" s="41"/>
      <c r="C448" s="41"/>
      <c r="H448" s="41"/>
    </row>
    <row r="449" ht="15.75" customHeight="1">
      <c r="A449" s="41"/>
      <c r="C449" s="41"/>
      <c r="H449" s="41"/>
    </row>
    <row r="450" ht="15.75" customHeight="1">
      <c r="A450" s="41"/>
      <c r="C450" s="41"/>
      <c r="H450" s="41"/>
    </row>
    <row r="451" ht="15.75" customHeight="1">
      <c r="A451" s="41"/>
      <c r="C451" s="41"/>
      <c r="H451" s="41"/>
    </row>
    <row r="452" ht="15.75" customHeight="1">
      <c r="A452" s="41"/>
      <c r="C452" s="41"/>
      <c r="H452" s="41"/>
    </row>
    <row r="453" ht="15.75" customHeight="1">
      <c r="A453" s="41"/>
      <c r="C453" s="41"/>
      <c r="H453" s="41"/>
    </row>
    <row r="454" ht="15.75" customHeight="1">
      <c r="A454" s="41"/>
      <c r="C454" s="41"/>
      <c r="H454" s="41"/>
    </row>
    <row r="455" ht="15.75" customHeight="1">
      <c r="A455" s="41"/>
      <c r="C455" s="41"/>
      <c r="H455" s="41"/>
    </row>
    <row r="456" ht="15.75" customHeight="1">
      <c r="A456" s="41"/>
      <c r="C456" s="41"/>
      <c r="H456" s="41"/>
    </row>
    <row r="457" ht="15.75" customHeight="1">
      <c r="A457" s="41"/>
      <c r="C457" s="41"/>
      <c r="H457" s="41"/>
    </row>
    <row r="458" ht="15.75" customHeight="1">
      <c r="A458" s="41"/>
      <c r="C458" s="41"/>
      <c r="H458" s="41"/>
    </row>
    <row r="459" ht="15.75" customHeight="1">
      <c r="A459" s="41"/>
      <c r="C459" s="41"/>
      <c r="H459" s="41"/>
    </row>
    <row r="460" ht="15.75" customHeight="1">
      <c r="A460" s="41"/>
      <c r="C460" s="41"/>
      <c r="H460" s="41"/>
    </row>
    <row r="461" ht="15.75" customHeight="1">
      <c r="A461" s="41"/>
      <c r="C461" s="41"/>
      <c r="H461" s="41"/>
    </row>
    <row r="462" ht="15.75" customHeight="1">
      <c r="A462" s="41"/>
      <c r="C462" s="41"/>
      <c r="H462" s="41"/>
    </row>
    <row r="463" ht="15.75" customHeight="1">
      <c r="A463" s="41"/>
      <c r="C463" s="41"/>
      <c r="H463" s="41"/>
    </row>
    <row r="464" ht="15.75" customHeight="1">
      <c r="A464" s="41"/>
      <c r="C464" s="41"/>
      <c r="H464" s="41"/>
    </row>
    <row r="465" ht="15.75" customHeight="1">
      <c r="A465" s="41"/>
      <c r="C465" s="41"/>
      <c r="H465" s="41"/>
    </row>
    <row r="466" ht="15.75" customHeight="1">
      <c r="A466" s="41"/>
      <c r="C466" s="41"/>
      <c r="H466" s="41"/>
    </row>
    <row r="467" ht="15.75" customHeight="1">
      <c r="A467" s="41"/>
      <c r="C467" s="41"/>
      <c r="H467" s="41"/>
    </row>
    <row r="468" ht="15.75" customHeight="1">
      <c r="A468" s="41"/>
      <c r="C468" s="41"/>
      <c r="H468" s="41"/>
    </row>
    <row r="469" ht="15.75" customHeight="1">
      <c r="A469" s="41"/>
      <c r="C469" s="41"/>
      <c r="H469" s="41"/>
    </row>
    <row r="470" ht="15.75" customHeight="1">
      <c r="A470" s="41"/>
      <c r="C470" s="41"/>
      <c r="H470" s="41"/>
    </row>
    <row r="471" ht="15.75" customHeight="1">
      <c r="A471" s="41"/>
      <c r="C471" s="41"/>
      <c r="H471" s="41"/>
    </row>
    <row r="472" ht="15.75" customHeight="1">
      <c r="A472" s="41"/>
      <c r="C472" s="41"/>
      <c r="H472" s="41"/>
    </row>
    <row r="473" ht="15.75" customHeight="1">
      <c r="A473" s="41"/>
      <c r="C473" s="41"/>
      <c r="H473" s="41"/>
    </row>
    <row r="474" ht="15.75" customHeight="1">
      <c r="A474" s="41"/>
      <c r="C474" s="41"/>
      <c r="H474" s="41"/>
    </row>
    <row r="475" ht="15.75" customHeight="1">
      <c r="A475" s="41"/>
      <c r="C475" s="41"/>
      <c r="H475" s="41"/>
    </row>
    <row r="476" ht="15.75" customHeight="1">
      <c r="A476" s="41"/>
      <c r="C476" s="41"/>
      <c r="H476" s="41"/>
    </row>
    <row r="477" ht="15.75" customHeight="1">
      <c r="A477" s="41"/>
      <c r="C477" s="41"/>
      <c r="H477" s="41"/>
    </row>
    <row r="478" ht="15.75" customHeight="1">
      <c r="A478" s="41"/>
      <c r="C478" s="41"/>
      <c r="H478" s="41"/>
    </row>
    <row r="479" ht="15.75" customHeight="1">
      <c r="A479" s="41"/>
      <c r="C479" s="41"/>
      <c r="H479" s="41"/>
    </row>
    <row r="480" ht="15.75" customHeight="1">
      <c r="A480" s="41"/>
      <c r="C480" s="41"/>
      <c r="H480" s="41"/>
    </row>
    <row r="481" ht="15.75" customHeight="1">
      <c r="A481" s="41"/>
      <c r="C481" s="41"/>
      <c r="H481" s="41"/>
    </row>
    <row r="482" ht="15.75" customHeight="1">
      <c r="A482" s="41"/>
      <c r="C482" s="41"/>
      <c r="H482" s="41"/>
    </row>
    <row r="483" ht="15.75" customHeight="1">
      <c r="A483" s="41"/>
      <c r="C483" s="41"/>
      <c r="H483" s="41"/>
    </row>
    <row r="484" ht="15.75" customHeight="1">
      <c r="A484" s="41"/>
      <c r="C484" s="41"/>
      <c r="H484" s="41"/>
    </row>
    <row r="485" ht="15.75" customHeight="1">
      <c r="A485" s="41"/>
      <c r="C485" s="41"/>
      <c r="H485" s="41"/>
    </row>
    <row r="486" ht="15.75" customHeight="1">
      <c r="A486" s="41"/>
      <c r="C486" s="41"/>
      <c r="H486" s="41"/>
    </row>
    <row r="487" ht="15.75" customHeight="1">
      <c r="A487" s="41"/>
      <c r="C487" s="41"/>
      <c r="H487" s="41"/>
    </row>
    <row r="488" ht="15.75" customHeight="1">
      <c r="A488" s="41"/>
      <c r="C488" s="41"/>
      <c r="H488" s="41"/>
    </row>
    <row r="489" ht="15.75" customHeight="1">
      <c r="A489" s="41"/>
      <c r="C489" s="41"/>
      <c r="H489" s="41"/>
    </row>
    <row r="490" ht="15.75" customHeight="1">
      <c r="A490" s="41"/>
      <c r="C490" s="41"/>
      <c r="H490" s="41"/>
    </row>
    <row r="491" ht="15.75" customHeight="1">
      <c r="A491" s="41"/>
      <c r="C491" s="41"/>
      <c r="H491" s="41"/>
    </row>
    <row r="492" ht="15.75" customHeight="1">
      <c r="A492" s="41"/>
      <c r="C492" s="41"/>
      <c r="H492" s="41"/>
    </row>
    <row r="493" ht="15.75" customHeight="1">
      <c r="A493" s="41"/>
      <c r="C493" s="41"/>
      <c r="H493" s="41"/>
    </row>
    <row r="494" ht="15.75" customHeight="1">
      <c r="A494" s="41"/>
      <c r="C494" s="41"/>
      <c r="H494" s="41"/>
    </row>
    <row r="495" ht="15.75" customHeight="1">
      <c r="A495" s="41"/>
      <c r="C495" s="41"/>
      <c r="H495" s="41"/>
    </row>
    <row r="496" ht="15.75" customHeight="1">
      <c r="A496" s="41"/>
      <c r="C496" s="41"/>
      <c r="H496" s="41"/>
    </row>
    <row r="497" ht="15.75" customHeight="1">
      <c r="A497" s="41"/>
      <c r="C497" s="41"/>
      <c r="H497" s="41"/>
    </row>
    <row r="498" ht="15.75" customHeight="1">
      <c r="A498" s="41"/>
      <c r="C498" s="41"/>
      <c r="H498" s="41"/>
    </row>
    <row r="499" ht="15.75" customHeight="1">
      <c r="A499" s="41"/>
      <c r="C499" s="41"/>
      <c r="H499" s="41"/>
    </row>
    <row r="500" ht="15.75" customHeight="1">
      <c r="A500" s="41"/>
      <c r="C500" s="41"/>
      <c r="H500" s="41"/>
    </row>
    <row r="501" ht="15.75" customHeight="1">
      <c r="A501" s="41"/>
      <c r="C501" s="41"/>
      <c r="H501" s="41"/>
    </row>
    <row r="502" ht="15.75" customHeight="1">
      <c r="A502" s="41"/>
      <c r="C502" s="41"/>
      <c r="H502" s="41"/>
    </row>
    <row r="503" ht="15.75" customHeight="1">
      <c r="A503" s="41"/>
      <c r="C503" s="41"/>
      <c r="H503" s="41"/>
    </row>
    <row r="504" ht="15.75" customHeight="1">
      <c r="A504" s="41"/>
      <c r="C504" s="41"/>
      <c r="H504" s="41"/>
    </row>
    <row r="505" ht="15.75" customHeight="1">
      <c r="A505" s="41"/>
      <c r="C505" s="41"/>
      <c r="H505" s="41"/>
    </row>
    <row r="506" ht="15.75" customHeight="1">
      <c r="A506" s="41"/>
      <c r="C506" s="41"/>
      <c r="H506" s="41"/>
    </row>
    <row r="507" ht="15.75" customHeight="1">
      <c r="A507" s="41"/>
      <c r="C507" s="41"/>
      <c r="H507" s="41"/>
    </row>
    <row r="508" ht="15.75" customHeight="1">
      <c r="A508" s="41"/>
      <c r="C508" s="41"/>
      <c r="H508" s="41"/>
    </row>
    <row r="509" ht="15.75" customHeight="1">
      <c r="A509" s="41"/>
      <c r="C509" s="41"/>
      <c r="H509" s="41"/>
    </row>
    <row r="510" ht="15.75" customHeight="1">
      <c r="A510" s="41"/>
      <c r="C510" s="41"/>
      <c r="H510" s="41"/>
    </row>
    <row r="511" ht="15.75" customHeight="1">
      <c r="A511" s="41"/>
      <c r="C511" s="41"/>
      <c r="H511" s="41"/>
    </row>
    <row r="512" ht="15.75" customHeight="1">
      <c r="A512" s="41"/>
      <c r="C512" s="41"/>
      <c r="H512" s="41"/>
    </row>
    <row r="513" ht="15.75" customHeight="1">
      <c r="A513" s="41"/>
      <c r="C513" s="41"/>
      <c r="H513" s="41"/>
    </row>
    <row r="514" ht="15.75" customHeight="1">
      <c r="A514" s="41"/>
      <c r="C514" s="41"/>
      <c r="H514" s="41"/>
    </row>
    <row r="515" ht="15.75" customHeight="1">
      <c r="A515" s="41"/>
      <c r="C515" s="41"/>
      <c r="H515" s="41"/>
    </row>
    <row r="516" ht="15.75" customHeight="1">
      <c r="A516" s="41"/>
      <c r="C516" s="41"/>
      <c r="H516" s="41"/>
    </row>
    <row r="517" ht="15.75" customHeight="1">
      <c r="A517" s="41"/>
      <c r="C517" s="41"/>
      <c r="H517" s="41"/>
    </row>
    <row r="518" ht="15.75" customHeight="1">
      <c r="A518" s="41"/>
      <c r="C518" s="41"/>
      <c r="H518" s="41"/>
    </row>
    <row r="519" ht="15.75" customHeight="1">
      <c r="A519" s="41"/>
      <c r="C519" s="41"/>
      <c r="H519" s="41"/>
    </row>
    <row r="520" ht="15.75" customHeight="1">
      <c r="A520" s="41"/>
      <c r="C520" s="41"/>
      <c r="H520" s="41"/>
    </row>
    <row r="521" ht="15.75" customHeight="1">
      <c r="A521" s="41"/>
      <c r="C521" s="41"/>
      <c r="H521" s="41"/>
    </row>
    <row r="522" ht="15.75" customHeight="1">
      <c r="A522" s="41"/>
      <c r="C522" s="41"/>
      <c r="H522" s="41"/>
    </row>
    <row r="523" ht="15.75" customHeight="1">
      <c r="A523" s="41"/>
      <c r="C523" s="41"/>
      <c r="H523" s="41"/>
    </row>
    <row r="524" ht="15.75" customHeight="1">
      <c r="A524" s="41"/>
      <c r="C524" s="41"/>
      <c r="H524" s="41"/>
    </row>
    <row r="525" ht="15.75" customHeight="1">
      <c r="A525" s="41"/>
      <c r="C525" s="41"/>
      <c r="H525" s="41"/>
    </row>
    <row r="526" ht="15.75" customHeight="1">
      <c r="A526" s="41"/>
      <c r="C526" s="41"/>
      <c r="H526" s="41"/>
    </row>
    <row r="527" ht="15.75" customHeight="1">
      <c r="A527" s="41"/>
      <c r="C527" s="41"/>
      <c r="H527" s="41"/>
    </row>
    <row r="528" ht="15.75" customHeight="1">
      <c r="A528" s="41"/>
      <c r="C528" s="41"/>
      <c r="H528" s="41"/>
    </row>
    <row r="529" ht="15.75" customHeight="1">
      <c r="A529" s="41"/>
      <c r="C529" s="41"/>
      <c r="H529" s="41"/>
    </row>
    <row r="530" ht="15.75" customHeight="1">
      <c r="A530" s="41"/>
      <c r="C530" s="41"/>
      <c r="H530" s="41"/>
    </row>
    <row r="531" ht="15.75" customHeight="1">
      <c r="A531" s="41"/>
      <c r="C531" s="41"/>
      <c r="H531" s="41"/>
    </row>
    <row r="532" ht="15.75" customHeight="1">
      <c r="A532" s="41"/>
      <c r="C532" s="41"/>
      <c r="H532" s="41"/>
    </row>
    <row r="533" ht="15.75" customHeight="1">
      <c r="A533" s="41"/>
      <c r="C533" s="41"/>
      <c r="H533" s="41"/>
    </row>
    <row r="534" ht="15.75" customHeight="1">
      <c r="A534" s="41"/>
      <c r="C534" s="41"/>
      <c r="H534" s="41"/>
    </row>
    <row r="535" ht="15.75" customHeight="1">
      <c r="A535" s="41"/>
      <c r="C535" s="41"/>
      <c r="H535" s="41"/>
    </row>
    <row r="536" ht="15.75" customHeight="1">
      <c r="A536" s="41"/>
      <c r="C536" s="41"/>
      <c r="H536" s="41"/>
    </row>
    <row r="537" ht="15.75" customHeight="1">
      <c r="A537" s="41"/>
      <c r="C537" s="41"/>
      <c r="H537" s="41"/>
    </row>
    <row r="538" ht="15.75" customHeight="1">
      <c r="A538" s="41"/>
      <c r="C538" s="41"/>
      <c r="H538" s="41"/>
    </row>
    <row r="539" ht="15.75" customHeight="1">
      <c r="A539" s="41"/>
      <c r="C539" s="41"/>
      <c r="H539" s="41"/>
    </row>
    <row r="540" ht="15.75" customHeight="1">
      <c r="A540" s="41"/>
      <c r="C540" s="41"/>
      <c r="H540" s="41"/>
    </row>
    <row r="541" ht="15.75" customHeight="1">
      <c r="A541" s="41"/>
      <c r="C541" s="41"/>
      <c r="H541" s="41"/>
    </row>
    <row r="542" ht="15.75" customHeight="1">
      <c r="A542" s="41"/>
      <c r="C542" s="41"/>
      <c r="H542" s="41"/>
    </row>
    <row r="543" ht="15.75" customHeight="1">
      <c r="A543" s="41"/>
      <c r="C543" s="41"/>
      <c r="H543" s="41"/>
    </row>
    <row r="544" ht="15.75" customHeight="1">
      <c r="A544" s="41"/>
      <c r="C544" s="41"/>
      <c r="H544" s="41"/>
    </row>
    <row r="545" ht="15.75" customHeight="1">
      <c r="A545" s="41"/>
      <c r="C545" s="41"/>
      <c r="H545" s="41"/>
    </row>
    <row r="546" ht="15.75" customHeight="1">
      <c r="A546" s="41"/>
      <c r="C546" s="41"/>
      <c r="H546" s="41"/>
    </row>
    <row r="547" ht="15.75" customHeight="1">
      <c r="A547" s="41"/>
      <c r="C547" s="41"/>
      <c r="H547" s="41"/>
    </row>
    <row r="548" ht="15.75" customHeight="1">
      <c r="A548" s="41"/>
      <c r="C548" s="41"/>
      <c r="H548" s="41"/>
    </row>
    <row r="549" ht="15.75" customHeight="1">
      <c r="A549" s="41"/>
      <c r="C549" s="41"/>
      <c r="H549" s="41"/>
    </row>
    <row r="550" ht="15.75" customHeight="1">
      <c r="A550" s="41"/>
      <c r="C550" s="41"/>
      <c r="H550" s="41"/>
    </row>
    <row r="551" ht="15.75" customHeight="1">
      <c r="A551" s="41"/>
      <c r="C551" s="41"/>
      <c r="H551" s="41"/>
    </row>
    <row r="552" ht="15.75" customHeight="1">
      <c r="A552" s="41"/>
      <c r="C552" s="41"/>
      <c r="H552" s="41"/>
    </row>
    <row r="553" ht="15.75" customHeight="1">
      <c r="A553" s="41"/>
      <c r="C553" s="41"/>
      <c r="H553" s="41"/>
    </row>
    <row r="554" ht="15.75" customHeight="1">
      <c r="A554" s="41"/>
      <c r="C554" s="41"/>
      <c r="H554" s="41"/>
    </row>
    <row r="555" ht="15.75" customHeight="1">
      <c r="A555" s="41"/>
      <c r="C555" s="41"/>
      <c r="H555" s="41"/>
    </row>
    <row r="556" ht="15.75" customHeight="1">
      <c r="A556" s="41"/>
      <c r="C556" s="41"/>
      <c r="H556" s="41"/>
    </row>
    <row r="557" ht="15.75" customHeight="1">
      <c r="A557" s="41"/>
      <c r="C557" s="41"/>
      <c r="H557" s="41"/>
    </row>
    <row r="558" ht="15.75" customHeight="1">
      <c r="A558" s="41"/>
      <c r="C558" s="41"/>
      <c r="H558" s="41"/>
    </row>
    <row r="559" ht="15.75" customHeight="1">
      <c r="A559" s="41"/>
      <c r="C559" s="41"/>
      <c r="H559" s="41"/>
    </row>
    <row r="560" ht="15.75" customHeight="1">
      <c r="A560" s="41"/>
      <c r="C560" s="41"/>
      <c r="H560" s="41"/>
    </row>
    <row r="561" ht="15.75" customHeight="1">
      <c r="A561" s="41"/>
      <c r="C561" s="41"/>
      <c r="H561" s="41"/>
    </row>
    <row r="562" ht="15.75" customHeight="1">
      <c r="A562" s="41"/>
      <c r="C562" s="41"/>
      <c r="H562" s="41"/>
    </row>
    <row r="563" ht="15.75" customHeight="1">
      <c r="A563" s="41"/>
      <c r="C563" s="41"/>
      <c r="H563" s="41"/>
    </row>
    <row r="564" ht="15.75" customHeight="1">
      <c r="A564" s="41"/>
      <c r="C564" s="41"/>
      <c r="H564" s="41"/>
    </row>
    <row r="565" ht="15.75" customHeight="1">
      <c r="A565" s="41"/>
      <c r="C565" s="41"/>
      <c r="H565" s="41"/>
    </row>
    <row r="566" ht="15.75" customHeight="1">
      <c r="A566" s="41"/>
      <c r="C566" s="41"/>
      <c r="H566" s="41"/>
    </row>
    <row r="567" ht="15.75" customHeight="1">
      <c r="A567" s="41"/>
      <c r="C567" s="41"/>
      <c r="H567" s="41"/>
    </row>
    <row r="568" ht="15.75" customHeight="1">
      <c r="A568" s="41"/>
      <c r="C568" s="41"/>
      <c r="H568" s="41"/>
    </row>
    <row r="569" ht="15.75" customHeight="1">
      <c r="A569" s="41"/>
      <c r="C569" s="41"/>
      <c r="H569" s="41"/>
    </row>
    <row r="570" ht="15.75" customHeight="1">
      <c r="A570" s="41"/>
      <c r="C570" s="41"/>
      <c r="H570" s="41"/>
    </row>
    <row r="571" ht="15.75" customHeight="1">
      <c r="A571" s="41"/>
      <c r="C571" s="41"/>
      <c r="H571" s="41"/>
    </row>
    <row r="572" ht="15.75" customHeight="1">
      <c r="A572" s="41"/>
      <c r="C572" s="41"/>
      <c r="H572" s="41"/>
    </row>
    <row r="573" ht="15.75" customHeight="1">
      <c r="A573" s="41"/>
      <c r="C573" s="41"/>
      <c r="H573" s="41"/>
    </row>
    <row r="574" ht="15.75" customHeight="1">
      <c r="A574" s="41"/>
      <c r="C574" s="41"/>
      <c r="H574" s="41"/>
    </row>
    <row r="575" ht="15.75" customHeight="1">
      <c r="A575" s="41"/>
      <c r="C575" s="41"/>
      <c r="H575" s="41"/>
    </row>
    <row r="576" ht="15.75" customHeight="1">
      <c r="A576" s="41"/>
      <c r="C576" s="41"/>
      <c r="H576" s="41"/>
    </row>
    <row r="577" ht="15.75" customHeight="1">
      <c r="A577" s="41"/>
      <c r="C577" s="41"/>
      <c r="H577" s="41"/>
    </row>
    <row r="578" ht="15.75" customHeight="1">
      <c r="A578" s="41"/>
      <c r="C578" s="41"/>
      <c r="H578" s="41"/>
    </row>
    <row r="579" ht="15.75" customHeight="1">
      <c r="A579" s="41"/>
      <c r="C579" s="41"/>
      <c r="H579" s="41"/>
    </row>
    <row r="580" ht="15.75" customHeight="1">
      <c r="A580" s="41"/>
      <c r="C580" s="41"/>
      <c r="H580" s="41"/>
    </row>
    <row r="581" ht="15.75" customHeight="1">
      <c r="A581" s="41"/>
      <c r="C581" s="41"/>
      <c r="H581" s="41"/>
    </row>
    <row r="582" ht="15.75" customHeight="1">
      <c r="A582" s="41"/>
      <c r="C582" s="41"/>
      <c r="H582" s="41"/>
    </row>
    <row r="583" ht="15.75" customHeight="1">
      <c r="A583" s="41"/>
      <c r="C583" s="41"/>
      <c r="H583" s="41"/>
    </row>
    <row r="584" ht="15.75" customHeight="1">
      <c r="A584" s="41"/>
      <c r="C584" s="41"/>
      <c r="H584" s="41"/>
    </row>
    <row r="585" ht="15.75" customHeight="1">
      <c r="A585" s="41"/>
      <c r="C585" s="41"/>
      <c r="H585" s="41"/>
    </row>
    <row r="586" ht="15.75" customHeight="1">
      <c r="A586" s="41"/>
      <c r="C586" s="41"/>
      <c r="H586" s="41"/>
    </row>
    <row r="587" ht="15.75" customHeight="1">
      <c r="A587" s="41"/>
      <c r="C587" s="41"/>
      <c r="H587" s="41"/>
    </row>
    <row r="588" ht="15.75" customHeight="1">
      <c r="A588" s="41"/>
      <c r="C588" s="41"/>
      <c r="H588" s="41"/>
    </row>
    <row r="589" ht="15.75" customHeight="1">
      <c r="A589" s="41"/>
      <c r="C589" s="41"/>
      <c r="H589" s="41"/>
    </row>
    <row r="590" ht="15.75" customHeight="1">
      <c r="A590" s="41"/>
      <c r="C590" s="41"/>
      <c r="H590" s="41"/>
    </row>
    <row r="591" ht="15.75" customHeight="1">
      <c r="A591" s="41"/>
      <c r="C591" s="41"/>
      <c r="H591" s="41"/>
    </row>
    <row r="592" ht="15.75" customHeight="1">
      <c r="A592" s="41"/>
      <c r="C592" s="41"/>
      <c r="H592" s="41"/>
    </row>
    <row r="593" ht="15.75" customHeight="1">
      <c r="A593" s="41"/>
      <c r="C593" s="41"/>
      <c r="H593" s="41"/>
    </row>
    <row r="594" ht="15.75" customHeight="1">
      <c r="A594" s="41"/>
      <c r="C594" s="41"/>
      <c r="H594" s="41"/>
    </row>
    <row r="595" ht="15.75" customHeight="1">
      <c r="A595" s="41"/>
      <c r="C595" s="41"/>
      <c r="H595" s="41"/>
    </row>
    <row r="596" ht="15.75" customHeight="1">
      <c r="A596" s="41"/>
      <c r="C596" s="41"/>
      <c r="H596" s="41"/>
    </row>
    <row r="597" ht="15.75" customHeight="1">
      <c r="A597" s="41"/>
      <c r="C597" s="41"/>
      <c r="H597" s="41"/>
    </row>
    <row r="598" ht="15.75" customHeight="1">
      <c r="A598" s="41"/>
      <c r="C598" s="41"/>
      <c r="H598" s="41"/>
    </row>
    <row r="599" ht="15.75" customHeight="1">
      <c r="A599" s="41"/>
      <c r="C599" s="41"/>
      <c r="H599" s="41"/>
    </row>
    <row r="600" ht="15.75" customHeight="1">
      <c r="A600" s="41"/>
      <c r="C600" s="41"/>
      <c r="H600" s="41"/>
    </row>
    <row r="601" ht="15.75" customHeight="1">
      <c r="A601" s="41"/>
      <c r="C601" s="41"/>
      <c r="H601" s="41"/>
    </row>
    <row r="602" ht="15.75" customHeight="1">
      <c r="A602" s="41"/>
      <c r="C602" s="41"/>
      <c r="H602" s="41"/>
    </row>
    <row r="603" ht="15.75" customHeight="1">
      <c r="A603" s="41"/>
      <c r="C603" s="41"/>
      <c r="H603" s="41"/>
    </row>
    <row r="604" ht="15.75" customHeight="1">
      <c r="A604" s="41"/>
      <c r="C604" s="41"/>
      <c r="H604" s="41"/>
    </row>
    <row r="605" ht="15.75" customHeight="1">
      <c r="A605" s="41"/>
      <c r="C605" s="41"/>
      <c r="H605" s="41"/>
    </row>
    <row r="606" ht="15.75" customHeight="1">
      <c r="A606" s="41"/>
      <c r="C606" s="41"/>
      <c r="H606" s="41"/>
    </row>
    <row r="607" ht="15.75" customHeight="1">
      <c r="A607" s="41"/>
      <c r="C607" s="41"/>
      <c r="H607" s="41"/>
    </row>
    <row r="608" ht="15.75" customHeight="1">
      <c r="A608" s="41"/>
      <c r="C608" s="41"/>
      <c r="H608" s="41"/>
    </row>
    <row r="609" ht="15.75" customHeight="1">
      <c r="A609" s="41"/>
      <c r="C609" s="41"/>
      <c r="H609" s="41"/>
    </row>
    <row r="610" ht="15.75" customHeight="1">
      <c r="A610" s="41"/>
      <c r="C610" s="41"/>
      <c r="H610" s="41"/>
    </row>
    <row r="611" ht="15.75" customHeight="1">
      <c r="A611" s="41"/>
      <c r="C611" s="41"/>
      <c r="H611" s="41"/>
    </row>
    <row r="612" ht="15.75" customHeight="1">
      <c r="A612" s="41"/>
      <c r="C612" s="41"/>
      <c r="H612" s="41"/>
    </row>
    <row r="613" ht="15.75" customHeight="1">
      <c r="A613" s="41"/>
      <c r="C613" s="41"/>
      <c r="H613" s="41"/>
    </row>
    <row r="614" ht="15.75" customHeight="1">
      <c r="A614" s="41"/>
      <c r="C614" s="41"/>
      <c r="H614" s="41"/>
    </row>
    <row r="615" ht="15.75" customHeight="1">
      <c r="A615" s="41"/>
      <c r="C615" s="41"/>
      <c r="H615" s="41"/>
    </row>
    <row r="616" ht="15.75" customHeight="1">
      <c r="A616" s="41"/>
      <c r="C616" s="41"/>
      <c r="H616" s="41"/>
    </row>
    <row r="617" ht="15.75" customHeight="1">
      <c r="A617" s="41"/>
      <c r="C617" s="41"/>
      <c r="H617" s="41"/>
    </row>
    <row r="618" ht="15.75" customHeight="1">
      <c r="A618" s="41"/>
      <c r="C618" s="41"/>
      <c r="H618" s="41"/>
    </row>
    <row r="619" ht="15.75" customHeight="1">
      <c r="A619" s="41"/>
      <c r="C619" s="41"/>
      <c r="H619" s="41"/>
    </row>
    <row r="620" ht="15.75" customHeight="1">
      <c r="A620" s="41"/>
      <c r="C620" s="41"/>
      <c r="H620" s="41"/>
    </row>
    <row r="621" ht="15.75" customHeight="1">
      <c r="A621" s="41"/>
      <c r="C621" s="41"/>
      <c r="H621" s="41"/>
    </row>
    <row r="622" ht="15.75" customHeight="1">
      <c r="A622" s="41"/>
      <c r="C622" s="41"/>
      <c r="H622" s="41"/>
    </row>
    <row r="623" ht="15.75" customHeight="1">
      <c r="A623" s="41"/>
      <c r="C623" s="41"/>
      <c r="H623" s="41"/>
    </row>
    <row r="624" ht="15.75" customHeight="1">
      <c r="A624" s="41"/>
      <c r="C624" s="41"/>
      <c r="H624" s="41"/>
    </row>
    <row r="625" ht="15.75" customHeight="1">
      <c r="A625" s="41"/>
      <c r="C625" s="41"/>
      <c r="H625" s="41"/>
    </row>
    <row r="626" ht="15.75" customHeight="1">
      <c r="A626" s="41"/>
      <c r="C626" s="41"/>
      <c r="H626" s="41"/>
    </row>
    <row r="627" ht="15.75" customHeight="1">
      <c r="A627" s="41"/>
      <c r="C627" s="41"/>
      <c r="H627" s="41"/>
    </row>
    <row r="628" ht="15.75" customHeight="1">
      <c r="A628" s="41"/>
      <c r="C628" s="41"/>
      <c r="H628" s="41"/>
    </row>
    <row r="629" ht="15.75" customHeight="1">
      <c r="A629" s="41"/>
      <c r="C629" s="41"/>
      <c r="H629" s="41"/>
    </row>
    <row r="630" ht="15.75" customHeight="1">
      <c r="A630" s="41"/>
      <c r="C630" s="41"/>
      <c r="H630" s="41"/>
    </row>
    <row r="631" ht="15.75" customHeight="1">
      <c r="A631" s="41"/>
      <c r="C631" s="41"/>
      <c r="H631" s="41"/>
    </row>
    <row r="632" ht="15.75" customHeight="1">
      <c r="A632" s="41"/>
      <c r="C632" s="41"/>
      <c r="H632" s="41"/>
    </row>
    <row r="633" ht="15.75" customHeight="1">
      <c r="A633" s="41"/>
      <c r="C633" s="41"/>
      <c r="H633" s="41"/>
    </row>
    <row r="634" ht="15.75" customHeight="1">
      <c r="A634" s="41"/>
      <c r="C634" s="41"/>
      <c r="H634" s="41"/>
    </row>
    <row r="635" ht="15.75" customHeight="1">
      <c r="A635" s="41"/>
      <c r="C635" s="41"/>
      <c r="H635" s="41"/>
    </row>
    <row r="636" ht="15.75" customHeight="1">
      <c r="A636" s="41"/>
      <c r="C636" s="41"/>
      <c r="H636" s="41"/>
    </row>
    <row r="637" ht="15.75" customHeight="1">
      <c r="A637" s="41"/>
      <c r="C637" s="41"/>
      <c r="H637" s="41"/>
    </row>
    <row r="638" ht="15.75" customHeight="1">
      <c r="A638" s="41"/>
      <c r="C638" s="41"/>
      <c r="H638" s="41"/>
    </row>
    <row r="639" ht="15.75" customHeight="1">
      <c r="A639" s="41"/>
      <c r="C639" s="41"/>
      <c r="H639" s="41"/>
    </row>
    <row r="640" ht="15.75" customHeight="1">
      <c r="A640" s="41"/>
      <c r="C640" s="41"/>
      <c r="H640" s="41"/>
    </row>
    <row r="641" ht="15.75" customHeight="1">
      <c r="A641" s="41"/>
      <c r="C641" s="41"/>
      <c r="H641" s="41"/>
    </row>
    <row r="642" ht="15.75" customHeight="1">
      <c r="A642" s="41"/>
      <c r="C642" s="41"/>
      <c r="H642" s="41"/>
    </row>
    <row r="643" ht="15.75" customHeight="1">
      <c r="A643" s="41"/>
      <c r="C643" s="41"/>
      <c r="H643" s="41"/>
    </row>
    <row r="644" ht="15.75" customHeight="1">
      <c r="A644" s="41"/>
      <c r="C644" s="41"/>
      <c r="H644" s="41"/>
    </row>
    <row r="645" ht="15.75" customHeight="1">
      <c r="A645" s="41"/>
      <c r="C645" s="41"/>
      <c r="H645" s="41"/>
    </row>
    <row r="646" ht="15.75" customHeight="1">
      <c r="A646" s="41"/>
      <c r="C646" s="41"/>
      <c r="H646" s="41"/>
    </row>
    <row r="647" ht="15.75" customHeight="1">
      <c r="A647" s="41"/>
      <c r="C647" s="41"/>
      <c r="H647" s="41"/>
    </row>
    <row r="648" ht="15.75" customHeight="1">
      <c r="A648" s="41"/>
      <c r="C648" s="41"/>
      <c r="H648" s="41"/>
    </row>
    <row r="649" ht="15.75" customHeight="1">
      <c r="A649" s="41"/>
      <c r="C649" s="41"/>
      <c r="H649" s="41"/>
    </row>
    <row r="650" ht="15.75" customHeight="1">
      <c r="A650" s="41"/>
      <c r="C650" s="41"/>
      <c r="H650" s="41"/>
    </row>
    <row r="651" ht="15.75" customHeight="1">
      <c r="A651" s="41"/>
      <c r="C651" s="41"/>
      <c r="H651" s="41"/>
    </row>
    <row r="652" ht="15.75" customHeight="1">
      <c r="A652" s="41"/>
      <c r="C652" s="41"/>
      <c r="H652" s="41"/>
    </row>
    <row r="653" ht="15.75" customHeight="1">
      <c r="A653" s="41"/>
      <c r="C653" s="41"/>
      <c r="H653" s="41"/>
    </row>
    <row r="654" ht="15.75" customHeight="1">
      <c r="A654" s="41"/>
      <c r="C654" s="41"/>
      <c r="H654" s="41"/>
    </row>
    <row r="655" ht="15.75" customHeight="1">
      <c r="A655" s="41"/>
      <c r="C655" s="41"/>
      <c r="H655" s="41"/>
    </row>
    <row r="656" ht="15.75" customHeight="1">
      <c r="A656" s="41"/>
      <c r="C656" s="41"/>
      <c r="H656" s="41"/>
    </row>
    <row r="657" ht="15.75" customHeight="1">
      <c r="A657" s="41"/>
      <c r="C657" s="41"/>
      <c r="H657" s="41"/>
    </row>
    <row r="658" ht="15.75" customHeight="1">
      <c r="A658" s="41"/>
      <c r="C658" s="41"/>
      <c r="H658" s="41"/>
    </row>
    <row r="659" ht="15.75" customHeight="1">
      <c r="A659" s="41"/>
      <c r="C659" s="41"/>
      <c r="H659" s="41"/>
    </row>
    <row r="660" ht="15.75" customHeight="1">
      <c r="A660" s="41"/>
      <c r="C660" s="41"/>
      <c r="H660" s="41"/>
    </row>
    <row r="661" ht="15.75" customHeight="1">
      <c r="A661" s="41"/>
      <c r="C661" s="41"/>
      <c r="H661" s="41"/>
    </row>
    <row r="662" ht="15.75" customHeight="1">
      <c r="A662" s="41"/>
      <c r="C662" s="41"/>
      <c r="H662" s="41"/>
    </row>
    <row r="663" ht="15.75" customHeight="1">
      <c r="A663" s="41"/>
      <c r="C663" s="41"/>
      <c r="H663" s="41"/>
    </row>
    <row r="664" ht="15.75" customHeight="1">
      <c r="A664" s="41"/>
      <c r="C664" s="41"/>
      <c r="H664" s="41"/>
    </row>
    <row r="665" ht="15.75" customHeight="1">
      <c r="A665" s="41"/>
      <c r="C665" s="41"/>
      <c r="H665" s="41"/>
    </row>
    <row r="666" ht="15.75" customHeight="1">
      <c r="A666" s="41"/>
      <c r="C666" s="41"/>
      <c r="H666" s="41"/>
    </row>
    <row r="667" ht="15.75" customHeight="1">
      <c r="A667" s="41"/>
      <c r="C667" s="41"/>
      <c r="H667" s="41"/>
    </row>
    <row r="668" ht="15.75" customHeight="1">
      <c r="A668" s="41"/>
      <c r="C668" s="41"/>
      <c r="H668" s="41"/>
    </row>
    <row r="669" ht="15.75" customHeight="1">
      <c r="A669" s="41"/>
      <c r="C669" s="41"/>
      <c r="H669" s="41"/>
    </row>
    <row r="670" ht="15.75" customHeight="1">
      <c r="A670" s="41"/>
      <c r="C670" s="41"/>
      <c r="H670" s="41"/>
    </row>
    <row r="671" ht="15.75" customHeight="1">
      <c r="A671" s="41"/>
      <c r="C671" s="41"/>
      <c r="H671" s="41"/>
    </row>
    <row r="672" ht="15.75" customHeight="1">
      <c r="A672" s="41"/>
      <c r="C672" s="41"/>
      <c r="H672" s="41"/>
    </row>
    <row r="673" ht="15.75" customHeight="1">
      <c r="A673" s="41"/>
      <c r="C673" s="41"/>
      <c r="H673" s="41"/>
    </row>
    <row r="674" ht="15.75" customHeight="1">
      <c r="A674" s="41"/>
      <c r="C674" s="41"/>
      <c r="H674" s="41"/>
    </row>
    <row r="675" ht="15.75" customHeight="1">
      <c r="A675" s="41"/>
      <c r="C675" s="41"/>
      <c r="H675" s="41"/>
    </row>
    <row r="676" ht="15.75" customHeight="1">
      <c r="A676" s="41"/>
      <c r="C676" s="41"/>
      <c r="H676" s="41"/>
    </row>
    <row r="677" ht="15.75" customHeight="1">
      <c r="A677" s="41"/>
      <c r="C677" s="41"/>
      <c r="H677" s="41"/>
    </row>
    <row r="678" ht="15.75" customHeight="1">
      <c r="A678" s="41"/>
      <c r="C678" s="41"/>
      <c r="H678" s="41"/>
    </row>
    <row r="679" ht="15.75" customHeight="1">
      <c r="A679" s="41"/>
      <c r="C679" s="41"/>
      <c r="H679" s="41"/>
    </row>
    <row r="680" ht="15.75" customHeight="1">
      <c r="A680" s="41"/>
      <c r="C680" s="41"/>
      <c r="H680" s="41"/>
    </row>
    <row r="681" ht="15.75" customHeight="1">
      <c r="A681" s="41"/>
      <c r="C681" s="41"/>
      <c r="H681" s="41"/>
    </row>
    <row r="682" ht="15.75" customHeight="1">
      <c r="A682" s="41"/>
      <c r="C682" s="41"/>
      <c r="H682" s="41"/>
    </row>
    <row r="683" ht="15.75" customHeight="1">
      <c r="A683" s="41"/>
      <c r="C683" s="41"/>
      <c r="H683" s="41"/>
    </row>
    <row r="684" ht="15.75" customHeight="1">
      <c r="A684" s="41"/>
      <c r="C684" s="41"/>
      <c r="H684" s="41"/>
    </row>
    <row r="685" ht="15.75" customHeight="1">
      <c r="A685" s="41"/>
      <c r="C685" s="41"/>
      <c r="H685" s="41"/>
    </row>
    <row r="686" ht="15.75" customHeight="1">
      <c r="A686" s="41"/>
      <c r="C686" s="41"/>
      <c r="H686" s="41"/>
    </row>
    <row r="687" ht="15.75" customHeight="1">
      <c r="A687" s="41"/>
      <c r="C687" s="41"/>
      <c r="H687" s="41"/>
    </row>
    <row r="688" ht="15.75" customHeight="1">
      <c r="A688" s="41"/>
      <c r="C688" s="41"/>
      <c r="H688" s="41"/>
    </row>
    <row r="689" ht="15.75" customHeight="1">
      <c r="A689" s="41"/>
      <c r="C689" s="41"/>
      <c r="H689" s="41"/>
    </row>
    <row r="690" ht="15.75" customHeight="1">
      <c r="A690" s="41"/>
      <c r="C690" s="41"/>
      <c r="H690" s="41"/>
    </row>
    <row r="691" ht="15.75" customHeight="1">
      <c r="A691" s="41"/>
      <c r="C691" s="41"/>
      <c r="H691" s="41"/>
    </row>
    <row r="692" ht="15.75" customHeight="1">
      <c r="A692" s="41"/>
      <c r="C692" s="41"/>
      <c r="H692" s="41"/>
    </row>
    <row r="693" ht="15.75" customHeight="1">
      <c r="A693" s="41"/>
      <c r="C693" s="41"/>
      <c r="H693" s="41"/>
    </row>
    <row r="694" ht="15.75" customHeight="1">
      <c r="A694" s="41"/>
      <c r="C694" s="41"/>
      <c r="H694" s="41"/>
    </row>
    <row r="695" ht="15.75" customHeight="1">
      <c r="A695" s="41"/>
      <c r="C695" s="41"/>
      <c r="H695" s="41"/>
    </row>
    <row r="696" ht="15.75" customHeight="1">
      <c r="A696" s="41"/>
      <c r="C696" s="41"/>
      <c r="H696" s="41"/>
    </row>
    <row r="697" ht="15.75" customHeight="1">
      <c r="A697" s="41"/>
      <c r="C697" s="41"/>
      <c r="H697" s="41"/>
    </row>
    <row r="698" ht="15.75" customHeight="1">
      <c r="A698" s="41"/>
      <c r="C698" s="41"/>
      <c r="H698" s="41"/>
    </row>
    <row r="699" ht="15.75" customHeight="1">
      <c r="A699" s="41"/>
      <c r="C699" s="41"/>
      <c r="H699" s="41"/>
    </row>
    <row r="700" ht="15.75" customHeight="1">
      <c r="A700" s="41"/>
      <c r="C700" s="41"/>
      <c r="H700" s="41"/>
    </row>
    <row r="701" ht="15.75" customHeight="1">
      <c r="A701" s="41"/>
      <c r="C701" s="41"/>
      <c r="H701" s="41"/>
    </row>
    <row r="702" ht="15.75" customHeight="1">
      <c r="A702" s="41"/>
      <c r="C702" s="41"/>
      <c r="H702" s="41"/>
    </row>
    <row r="703" ht="15.75" customHeight="1">
      <c r="A703" s="41"/>
      <c r="C703" s="41"/>
      <c r="H703" s="41"/>
    </row>
    <row r="704" ht="15.75" customHeight="1">
      <c r="A704" s="41"/>
      <c r="C704" s="41"/>
      <c r="H704" s="41"/>
    </row>
    <row r="705" ht="15.75" customHeight="1">
      <c r="A705" s="41"/>
      <c r="C705" s="41"/>
      <c r="H705" s="41"/>
    </row>
    <row r="706" ht="15.75" customHeight="1">
      <c r="A706" s="41"/>
      <c r="C706" s="41"/>
      <c r="H706" s="41"/>
    </row>
    <row r="707" ht="15.75" customHeight="1">
      <c r="A707" s="41"/>
      <c r="C707" s="41"/>
      <c r="H707" s="41"/>
    </row>
    <row r="708" ht="15.75" customHeight="1">
      <c r="A708" s="41"/>
      <c r="C708" s="41"/>
      <c r="H708" s="41"/>
    </row>
    <row r="709" ht="15.75" customHeight="1">
      <c r="A709" s="41"/>
      <c r="C709" s="41"/>
      <c r="H709" s="41"/>
    </row>
    <row r="710" ht="15.75" customHeight="1">
      <c r="A710" s="41"/>
      <c r="C710" s="41"/>
      <c r="H710" s="41"/>
    </row>
    <row r="711" ht="15.75" customHeight="1">
      <c r="A711" s="41"/>
      <c r="C711" s="41"/>
      <c r="H711" s="41"/>
    </row>
    <row r="712" ht="15.75" customHeight="1">
      <c r="A712" s="41"/>
      <c r="C712" s="41"/>
      <c r="H712" s="41"/>
    </row>
    <row r="713" ht="15.75" customHeight="1">
      <c r="A713" s="41"/>
      <c r="C713" s="41"/>
      <c r="H713" s="41"/>
    </row>
    <row r="714" ht="15.75" customHeight="1">
      <c r="A714" s="41"/>
      <c r="C714" s="41"/>
      <c r="H714" s="41"/>
    </row>
    <row r="715" ht="15.75" customHeight="1">
      <c r="A715" s="41"/>
      <c r="C715" s="41"/>
      <c r="H715" s="41"/>
    </row>
    <row r="716" ht="15.75" customHeight="1">
      <c r="A716" s="41"/>
      <c r="C716" s="41"/>
      <c r="H716" s="41"/>
    </row>
    <row r="717" ht="15.75" customHeight="1">
      <c r="A717" s="41"/>
      <c r="C717" s="41"/>
      <c r="H717" s="41"/>
    </row>
    <row r="718" ht="15.75" customHeight="1">
      <c r="A718" s="41"/>
      <c r="C718" s="41"/>
      <c r="H718" s="41"/>
    </row>
    <row r="719" ht="15.75" customHeight="1">
      <c r="A719" s="41"/>
      <c r="C719" s="41"/>
      <c r="H719" s="41"/>
    </row>
    <row r="720" ht="15.75" customHeight="1">
      <c r="A720" s="41"/>
      <c r="C720" s="41"/>
      <c r="H720" s="41"/>
    </row>
    <row r="721" ht="15.75" customHeight="1">
      <c r="A721" s="41"/>
      <c r="C721" s="41"/>
      <c r="H721" s="41"/>
    </row>
    <row r="722" ht="15.75" customHeight="1">
      <c r="A722" s="41"/>
      <c r="C722" s="41"/>
      <c r="H722" s="41"/>
    </row>
    <row r="723" ht="15.75" customHeight="1">
      <c r="A723" s="41"/>
      <c r="C723" s="41"/>
      <c r="H723" s="41"/>
    </row>
    <row r="724" ht="15.75" customHeight="1">
      <c r="A724" s="41"/>
      <c r="C724" s="41"/>
      <c r="H724" s="41"/>
    </row>
    <row r="725" ht="15.75" customHeight="1">
      <c r="A725" s="41"/>
      <c r="C725" s="41"/>
      <c r="H725" s="41"/>
    </row>
    <row r="726" ht="15.75" customHeight="1">
      <c r="A726" s="41"/>
      <c r="C726" s="41"/>
      <c r="H726" s="41"/>
    </row>
    <row r="727" ht="15.75" customHeight="1">
      <c r="A727" s="41"/>
      <c r="C727" s="41"/>
      <c r="H727" s="41"/>
    </row>
    <row r="728" ht="15.75" customHeight="1">
      <c r="A728" s="41"/>
      <c r="C728" s="41"/>
      <c r="H728" s="41"/>
    </row>
    <row r="729" ht="15.75" customHeight="1">
      <c r="A729" s="41"/>
      <c r="C729" s="41"/>
      <c r="H729" s="41"/>
    </row>
    <row r="730" ht="15.75" customHeight="1">
      <c r="A730" s="41"/>
      <c r="C730" s="41"/>
      <c r="H730" s="41"/>
    </row>
    <row r="731" ht="15.75" customHeight="1">
      <c r="A731" s="41"/>
      <c r="C731" s="41"/>
      <c r="H731" s="41"/>
    </row>
    <row r="732" ht="15.75" customHeight="1">
      <c r="A732" s="41"/>
      <c r="C732" s="41"/>
      <c r="H732" s="41"/>
    </row>
    <row r="733" ht="15.75" customHeight="1">
      <c r="A733" s="41"/>
      <c r="C733" s="41"/>
      <c r="H733" s="41"/>
    </row>
    <row r="734" ht="15.75" customHeight="1">
      <c r="A734" s="41"/>
      <c r="C734" s="41"/>
      <c r="H734" s="41"/>
    </row>
    <row r="735" ht="15.75" customHeight="1">
      <c r="A735" s="41"/>
      <c r="C735" s="41"/>
      <c r="H735" s="41"/>
    </row>
    <row r="736" ht="15.75" customHeight="1">
      <c r="A736" s="41"/>
      <c r="C736" s="41"/>
      <c r="H736" s="41"/>
    </row>
    <row r="737" ht="15.75" customHeight="1">
      <c r="A737" s="41"/>
      <c r="C737" s="41"/>
      <c r="H737" s="41"/>
    </row>
    <row r="738" ht="15.75" customHeight="1">
      <c r="A738" s="41"/>
      <c r="C738" s="41"/>
      <c r="H738" s="41"/>
    </row>
    <row r="739" ht="15.75" customHeight="1">
      <c r="A739" s="41"/>
      <c r="C739" s="41"/>
      <c r="H739" s="41"/>
    </row>
    <row r="740" ht="15.75" customHeight="1">
      <c r="A740" s="41"/>
      <c r="C740" s="41"/>
      <c r="H740" s="41"/>
    </row>
    <row r="741" ht="15.75" customHeight="1">
      <c r="A741" s="41"/>
      <c r="C741" s="41"/>
      <c r="H741" s="41"/>
    </row>
    <row r="742" ht="15.75" customHeight="1">
      <c r="A742" s="41"/>
      <c r="C742" s="41"/>
      <c r="H742" s="41"/>
    </row>
    <row r="743" ht="15.75" customHeight="1">
      <c r="A743" s="41"/>
      <c r="C743" s="41"/>
      <c r="H743" s="41"/>
    </row>
    <row r="744" ht="15.75" customHeight="1">
      <c r="A744" s="41"/>
      <c r="C744" s="41"/>
      <c r="H744" s="41"/>
    </row>
    <row r="745" ht="15.75" customHeight="1">
      <c r="A745" s="41"/>
      <c r="C745" s="41"/>
      <c r="H745" s="41"/>
    </row>
    <row r="746" ht="15.75" customHeight="1">
      <c r="A746" s="41"/>
      <c r="C746" s="41"/>
      <c r="H746" s="41"/>
    </row>
    <row r="747" ht="15.75" customHeight="1">
      <c r="A747" s="41"/>
      <c r="C747" s="41"/>
      <c r="H747" s="41"/>
    </row>
    <row r="748" ht="15.75" customHeight="1">
      <c r="A748" s="41"/>
      <c r="C748" s="41"/>
      <c r="H748" s="41"/>
    </row>
    <row r="749" ht="15.75" customHeight="1">
      <c r="A749" s="41"/>
      <c r="C749" s="41"/>
      <c r="H749" s="41"/>
    </row>
    <row r="750" ht="15.75" customHeight="1">
      <c r="A750" s="41"/>
      <c r="C750" s="41"/>
      <c r="H750" s="41"/>
    </row>
    <row r="751" ht="15.75" customHeight="1">
      <c r="A751" s="41"/>
      <c r="C751" s="41"/>
      <c r="H751" s="41"/>
    </row>
    <row r="752" ht="15.75" customHeight="1">
      <c r="A752" s="41"/>
      <c r="C752" s="41"/>
      <c r="H752" s="41"/>
    </row>
    <row r="753" ht="15.75" customHeight="1">
      <c r="A753" s="41"/>
      <c r="C753" s="41"/>
      <c r="H753" s="41"/>
    </row>
    <row r="754" ht="15.75" customHeight="1">
      <c r="A754" s="41"/>
      <c r="C754" s="41"/>
      <c r="H754" s="41"/>
    </row>
    <row r="755" ht="15.75" customHeight="1">
      <c r="A755" s="41"/>
      <c r="C755" s="41"/>
      <c r="H755" s="41"/>
    </row>
    <row r="756" ht="15.75" customHeight="1">
      <c r="A756" s="41"/>
      <c r="C756" s="41"/>
      <c r="H756" s="41"/>
    </row>
    <row r="757" ht="15.75" customHeight="1">
      <c r="A757" s="41"/>
      <c r="C757" s="41"/>
      <c r="H757" s="41"/>
    </row>
    <row r="758" ht="15.75" customHeight="1">
      <c r="A758" s="41"/>
      <c r="C758" s="41"/>
      <c r="H758" s="41"/>
    </row>
    <row r="759">
      <c r="A759" s="41"/>
      <c r="C759" s="41"/>
      <c r="H759" s="41"/>
    </row>
    <row r="760">
      <c r="A760" s="41"/>
      <c r="C760" s="41"/>
      <c r="H760" s="41"/>
    </row>
    <row r="761">
      <c r="A761" s="41"/>
      <c r="C761" s="41"/>
      <c r="H761" s="41"/>
    </row>
    <row r="762">
      <c r="A762" s="41"/>
      <c r="C762" s="41"/>
      <c r="H762" s="41"/>
    </row>
    <row r="763">
      <c r="A763" s="41"/>
      <c r="C763" s="41"/>
      <c r="H763" s="41"/>
    </row>
    <row r="764">
      <c r="A764" s="41"/>
      <c r="C764" s="41"/>
      <c r="H764" s="41"/>
    </row>
    <row r="765">
      <c r="A765" s="41"/>
      <c r="C765" s="41"/>
      <c r="H765" s="41"/>
    </row>
    <row r="766">
      <c r="A766" s="41"/>
      <c r="C766" s="41"/>
      <c r="H766" s="41"/>
    </row>
    <row r="767">
      <c r="A767" s="41"/>
      <c r="C767" s="41"/>
      <c r="H767" s="41"/>
    </row>
    <row r="768">
      <c r="A768" s="41"/>
      <c r="C768" s="41"/>
      <c r="H768" s="41"/>
    </row>
    <row r="769">
      <c r="A769" s="41"/>
      <c r="C769" s="41"/>
      <c r="H769" s="41"/>
    </row>
    <row r="770">
      <c r="A770" s="41"/>
      <c r="C770" s="41"/>
      <c r="H770" s="41"/>
    </row>
    <row r="771">
      <c r="A771" s="41"/>
      <c r="C771" s="41"/>
      <c r="H771" s="41"/>
    </row>
    <row r="772">
      <c r="A772" s="41"/>
      <c r="C772" s="41"/>
      <c r="H772" s="41"/>
    </row>
    <row r="773">
      <c r="A773" s="41"/>
      <c r="C773" s="41"/>
      <c r="H773" s="41"/>
    </row>
    <row r="774">
      <c r="A774" s="41"/>
      <c r="C774" s="41"/>
      <c r="H774" s="41"/>
    </row>
    <row r="775">
      <c r="A775" s="41"/>
      <c r="C775" s="41"/>
      <c r="H775" s="41"/>
    </row>
    <row r="776">
      <c r="A776" s="41"/>
      <c r="C776" s="41"/>
      <c r="H776" s="41"/>
    </row>
    <row r="777">
      <c r="A777" s="41"/>
      <c r="C777" s="41"/>
      <c r="H777" s="41"/>
    </row>
    <row r="778">
      <c r="A778" s="41"/>
      <c r="C778" s="41"/>
      <c r="H778" s="41"/>
    </row>
    <row r="779">
      <c r="A779" s="41"/>
      <c r="C779" s="41"/>
      <c r="H779" s="41"/>
    </row>
    <row r="780">
      <c r="A780" s="41"/>
      <c r="C780" s="41"/>
      <c r="H780" s="41"/>
    </row>
    <row r="781">
      <c r="A781" s="41"/>
      <c r="C781" s="41"/>
      <c r="H781" s="41"/>
    </row>
    <row r="782">
      <c r="A782" s="41"/>
      <c r="C782" s="41"/>
      <c r="H782" s="41"/>
    </row>
    <row r="783">
      <c r="A783" s="41"/>
      <c r="C783" s="41"/>
      <c r="H783" s="41"/>
    </row>
    <row r="784">
      <c r="A784" s="41"/>
      <c r="C784" s="41"/>
      <c r="H784" s="41"/>
    </row>
    <row r="785">
      <c r="A785" s="41"/>
      <c r="C785" s="41"/>
      <c r="H785" s="41"/>
    </row>
    <row r="786">
      <c r="A786" s="41"/>
      <c r="C786" s="41"/>
      <c r="H786" s="41"/>
    </row>
    <row r="787">
      <c r="A787" s="41"/>
      <c r="C787" s="41"/>
      <c r="H787" s="41"/>
    </row>
    <row r="788">
      <c r="A788" s="41"/>
      <c r="C788" s="41"/>
      <c r="H788" s="41"/>
    </row>
    <row r="789">
      <c r="A789" s="41"/>
      <c r="C789" s="41"/>
      <c r="H789" s="41"/>
    </row>
    <row r="790">
      <c r="A790" s="41"/>
      <c r="C790" s="41"/>
      <c r="H790" s="41"/>
    </row>
    <row r="791">
      <c r="A791" s="41"/>
      <c r="C791" s="41"/>
      <c r="H791" s="41"/>
    </row>
    <row r="792">
      <c r="A792" s="41"/>
      <c r="C792" s="41"/>
      <c r="H792" s="41"/>
    </row>
    <row r="793">
      <c r="A793" s="41"/>
      <c r="C793" s="41"/>
      <c r="H793" s="41"/>
    </row>
    <row r="794">
      <c r="A794" s="41"/>
      <c r="C794" s="41"/>
      <c r="H794" s="41"/>
    </row>
    <row r="795">
      <c r="A795" s="41"/>
      <c r="C795" s="41"/>
      <c r="H795" s="41"/>
    </row>
    <row r="796">
      <c r="A796" s="41"/>
      <c r="C796" s="41"/>
      <c r="H796" s="41"/>
    </row>
    <row r="797">
      <c r="A797" s="41"/>
      <c r="C797" s="41"/>
      <c r="H797" s="41"/>
    </row>
    <row r="798">
      <c r="A798" s="41"/>
      <c r="C798" s="41"/>
      <c r="H798" s="41"/>
    </row>
    <row r="799">
      <c r="A799" s="41"/>
      <c r="C799" s="41"/>
      <c r="H799" s="41"/>
    </row>
    <row r="800">
      <c r="A800" s="41"/>
      <c r="C800" s="41"/>
      <c r="H800" s="41"/>
    </row>
    <row r="801">
      <c r="A801" s="41"/>
      <c r="C801" s="41"/>
      <c r="H801" s="41"/>
    </row>
    <row r="802">
      <c r="A802" s="41"/>
      <c r="C802" s="41"/>
      <c r="H802" s="41"/>
    </row>
    <row r="803">
      <c r="A803" s="41"/>
      <c r="C803" s="41"/>
      <c r="H803" s="41"/>
    </row>
    <row r="804">
      <c r="A804" s="41"/>
      <c r="C804" s="41"/>
      <c r="H804" s="41"/>
    </row>
    <row r="805">
      <c r="A805" s="41"/>
      <c r="C805" s="41"/>
      <c r="H805" s="41"/>
    </row>
    <row r="806">
      <c r="A806" s="41"/>
      <c r="C806" s="41"/>
      <c r="H806" s="41"/>
    </row>
    <row r="807">
      <c r="A807" s="41"/>
      <c r="C807" s="41"/>
      <c r="H807" s="41"/>
    </row>
    <row r="808">
      <c r="A808" s="41"/>
      <c r="C808" s="41"/>
      <c r="H808" s="41"/>
    </row>
    <row r="809">
      <c r="A809" s="41"/>
      <c r="C809" s="41"/>
      <c r="H809" s="41"/>
    </row>
    <row r="810">
      <c r="A810" s="41"/>
      <c r="C810" s="41"/>
      <c r="H810" s="41"/>
    </row>
    <row r="811">
      <c r="A811" s="41"/>
      <c r="C811" s="41"/>
      <c r="H811" s="41"/>
    </row>
    <row r="812">
      <c r="A812" s="41"/>
      <c r="C812" s="41"/>
      <c r="H812" s="41"/>
    </row>
    <row r="813">
      <c r="A813" s="41"/>
      <c r="C813" s="41"/>
      <c r="H813" s="41"/>
    </row>
    <row r="814">
      <c r="A814" s="41"/>
      <c r="C814" s="41"/>
      <c r="H814" s="41"/>
    </row>
    <row r="815">
      <c r="A815" s="41"/>
      <c r="C815" s="41"/>
      <c r="H815" s="41"/>
    </row>
    <row r="816">
      <c r="A816" s="41"/>
      <c r="C816" s="41"/>
      <c r="H816" s="41"/>
    </row>
    <row r="817">
      <c r="A817" s="41"/>
      <c r="C817" s="41"/>
      <c r="H817" s="41"/>
    </row>
    <row r="818">
      <c r="A818" s="41"/>
      <c r="C818" s="41"/>
      <c r="H818" s="41"/>
    </row>
    <row r="819">
      <c r="A819" s="41"/>
      <c r="C819" s="41"/>
      <c r="H819" s="41"/>
    </row>
    <row r="820">
      <c r="A820" s="41"/>
      <c r="C820" s="41"/>
      <c r="H820" s="41"/>
    </row>
    <row r="821">
      <c r="A821" s="41"/>
      <c r="C821" s="41"/>
      <c r="H821" s="41"/>
    </row>
    <row r="822">
      <c r="A822" s="41"/>
      <c r="C822" s="41"/>
      <c r="H822" s="41"/>
    </row>
    <row r="823">
      <c r="A823" s="41"/>
      <c r="C823" s="41"/>
      <c r="H823" s="41"/>
    </row>
    <row r="824">
      <c r="A824" s="41"/>
      <c r="C824" s="41"/>
      <c r="H824" s="41"/>
    </row>
    <row r="825">
      <c r="A825" s="41"/>
      <c r="C825" s="41"/>
      <c r="H825" s="41"/>
    </row>
    <row r="826">
      <c r="A826" s="41"/>
      <c r="C826" s="41"/>
      <c r="H826" s="41"/>
    </row>
    <row r="827">
      <c r="A827" s="41"/>
      <c r="C827" s="41"/>
      <c r="H827" s="41"/>
    </row>
    <row r="828">
      <c r="A828" s="41"/>
      <c r="C828" s="41"/>
      <c r="H828" s="41"/>
    </row>
    <row r="829">
      <c r="A829" s="41"/>
      <c r="C829" s="41"/>
      <c r="H829" s="41"/>
    </row>
    <row r="830">
      <c r="A830" s="41"/>
      <c r="C830" s="41"/>
      <c r="H830" s="41"/>
    </row>
    <row r="831">
      <c r="A831" s="41"/>
      <c r="C831" s="41"/>
      <c r="H831" s="41"/>
    </row>
    <row r="832">
      <c r="A832" s="41"/>
      <c r="C832" s="41"/>
      <c r="H832" s="41"/>
    </row>
    <row r="833">
      <c r="A833" s="41"/>
      <c r="C833" s="41"/>
      <c r="H833" s="41"/>
    </row>
    <row r="834">
      <c r="A834" s="41"/>
      <c r="C834" s="41"/>
      <c r="H834" s="41"/>
    </row>
    <row r="835">
      <c r="A835" s="41"/>
      <c r="C835" s="41"/>
      <c r="H835" s="41"/>
    </row>
    <row r="836">
      <c r="A836" s="41"/>
      <c r="C836" s="41"/>
      <c r="H836" s="41"/>
    </row>
    <row r="837">
      <c r="A837" s="41"/>
      <c r="C837" s="41"/>
      <c r="H837" s="41"/>
    </row>
    <row r="838">
      <c r="A838" s="41"/>
      <c r="C838" s="41"/>
      <c r="H838" s="41"/>
    </row>
    <row r="839">
      <c r="A839" s="41"/>
      <c r="C839" s="41"/>
      <c r="H839" s="41"/>
    </row>
    <row r="840">
      <c r="A840" s="41"/>
      <c r="C840" s="41"/>
      <c r="H840" s="41"/>
    </row>
    <row r="841">
      <c r="A841" s="41"/>
      <c r="C841" s="41"/>
      <c r="H841" s="41"/>
    </row>
    <row r="842">
      <c r="A842" s="41"/>
      <c r="C842" s="41"/>
      <c r="H842" s="41"/>
    </row>
    <row r="843">
      <c r="A843" s="41"/>
      <c r="C843" s="41"/>
      <c r="H843" s="41"/>
    </row>
    <row r="844">
      <c r="A844" s="41"/>
      <c r="C844" s="41"/>
      <c r="H844" s="41"/>
    </row>
    <row r="845">
      <c r="A845" s="41"/>
      <c r="C845" s="41"/>
      <c r="H845" s="41"/>
    </row>
    <row r="846">
      <c r="A846" s="41"/>
      <c r="C846" s="41"/>
      <c r="H846" s="41"/>
    </row>
    <row r="847">
      <c r="A847" s="41"/>
      <c r="C847" s="41"/>
      <c r="H847" s="41"/>
    </row>
    <row r="848">
      <c r="A848" s="41"/>
      <c r="C848" s="41"/>
      <c r="H848" s="41"/>
    </row>
    <row r="849">
      <c r="A849" s="41"/>
      <c r="C849" s="41"/>
      <c r="H849" s="41"/>
    </row>
    <row r="850">
      <c r="A850" s="41"/>
      <c r="C850" s="41"/>
      <c r="H850" s="41"/>
    </row>
    <row r="851">
      <c r="A851" s="41"/>
      <c r="C851" s="41"/>
      <c r="H851" s="41"/>
    </row>
    <row r="852">
      <c r="A852" s="41"/>
      <c r="C852" s="41"/>
      <c r="H852" s="41"/>
    </row>
    <row r="853">
      <c r="A853" s="41"/>
      <c r="C853" s="41"/>
      <c r="H853" s="41"/>
    </row>
    <row r="854">
      <c r="A854" s="41"/>
      <c r="C854" s="41"/>
      <c r="H854" s="41"/>
    </row>
    <row r="855">
      <c r="A855" s="41"/>
      <c r="C855" s="41"/>
      <c r="H855" s="41"/>
    </row>
    <row r="856">
      <c r="A856" s="41"/>
      <c r="C856" s="41"/>
      <c r="H856" s="41"/>
    </row>
    <row r="857">
      <c r="A857" s="41"/>
      <c r="C857" s="41"/>
      <c r="H857" s="41"/>
    </row>
    <row r="858">
      <c r="A858" s="41"/>
      <c r="C858" s="41"/>
      <c r="H858" s="41"/>
    </row>
    <row r="859">
      <c r="A859" s="41"/>
      <c r="C859" s="41"/>
      <c r="H859" s="41"/>
    </row>
    <row r="860">
      <c r="A860" s="41"/>
      <c r="C860" s="41"/>
      <c r="H860" s="41"/>
    </row>
    <row r="861">
      <c r="A861" s="41"/>
      <c r="C861" s="41"/>
      <c r="H861" s="41"/>
    </row>
    <row r="862">
      <c r="A862" s="41"/>
      <c r="C862" s="41"/>
      <c r="H862" s="41"/>
    </row>
    <row r="863">
      <c r="A863" s="41"/>
      <c r="C863" s="41"/>
      <c r="H863" s="41"/>
    </row>
    <row r="864">
      <c r="A864" s="41"/>
      <c r="C864" s="41"/>
      <c r="H864" s="41"/>
    </row>
    <row r="865">
      <c r="A865" s="41"/>
      <c r="C865" s="41"/>
      <c r="H865" s="41"/>
    </row>
    <row r="866">
      <c r="A866" s="41"/>
      <c r="C866" s="41"/>
      <c r="H866" s="41"/>
    </row>
    <row r="867">
      <c r="A867" s="41"/>
      <c r="C867" s="41"/>
      <c r="H867" s="41"/>
    </row>
    <row r="868">
      <c r="A868" s="41"/>
      <c r="C868" s="41"/>
      <c r="H868" s="41"/>
    </row>
    <row r="869">
      <c r="A869" s="41"/>
      <c r="C869" s="41"/>
      <c r="H869" s="41"/>
    </row>
    <row r="870">
      <c r="A870" s="41"/>
      <c r="C870" s="41"/>
      <c r="H870" s="41"/>
    </row>
    <row r="871">
      <c r="A871" s="41"/>
      <c r="C871" s="41"/>
      <c r="H871" s="41"/>
    </row>
    <row r="872">
      <c r="A872" s="41"/>
      <c r="C872" s="41"/>
      <c r="H872" s="41"/>
    </row>
    <row r="873">
      <c r="A873" s="41"/>
      <c r="C873" s="41"/>
      <c r="H873" s="41"/>
    </row>
    <row r="874">
      <c r="A874" s="41"/>
      <c r="C874" s="41"/>
      <c r="H874" s="41"/>
    </row>
    <row r="875">
      <c r="A875" s="41"/>
      <c r="C875" s="41"/>
      <c r="H875" s="41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9.88"/>
    <col customWidth="1" min="3" max="4" width="5.38"/>
    <col customWidth="1" min="5" max="5" width="8.13"/>
    <col customWidth="1" min="6" max="6" width="5.38"/>
    <col customWidth="1" min="7" max="7" width="14.88"/>
    <col customWidth="1" min="8" max="8" width="5.38"/>
    <col customWidth="1" min="9" max="9" width="13.5"/>
    <col customWidth="1" min="10" max="10" width="5.38"/>
    <col customWidth="1" min="11" max="11" width="8.13"/>
    <col customWidth="1" min="12" max="12" width="19.63"/>
    <col customWidth="1" min="13" max="13" width="7.38"/>
    <col customWidth="1" min="14" max="14" width="14.38"/>
    <col customWidth="1" min="15" max="19" width="5.38"/>
    <col customWidth="1" min="20" max="20" width="11.75"/>
    <col customWidth="1" min="21" max="21" width="7.38"/>
    <col customWidth="1" min="22" max="24" width="5.38"/>
    <col customWidth="1" min="25" max="25" width="8.75"/>
    <col customWidth="1" min="26" max="34" width="5.38"/>
    <col customWidth="1" min="35" max="35" width="12.38"/>
    <col customWidth="1" min="36" max="36" width="31.0"/>
    <col customWidth="1" min="37" max="37" width="35.75"/>
    <col customWidth="1" min="38" max="38" width="15.25"/>
    <col customWidth="1" min="39" max="42" width="9.63"/>
  </cols>
  <sheetData>
    <row r="1" ht="18.0" customHeight="1">
      <c r="A1" s="113">
        <v>1.0</v>
      </c>
      <c r="B1" s="113">
        <v>2.0</v>
      </c>
      <c r="C1" s="113">
        <v>3.0</v>
      </c>
      <c r="D1" s="113">
        <v>4.0</v>
      </c>
      <c r="E1" s="113">
        <v>5.0</v>
      </c>
      <c r="F1" s="113">
        <v>6.0</v>
      </c>
      <c r="G1" s="113">
        <v>7.0</v>
      </c>
      <c r="H1" s="113">
        <v>8.0</v>
      </c>
      <c r="I1" s="113">
        <v>9.0</v>
      </c>
      <c r="J1" s="113">
        <v>10.0</v>
      </c>
      <c r="K1" s="113">
        <v>11.0</v>
      </c>
      <c r="L1" s="113">
        <v>12.0</v>
      </c>
      <c r="M1" s="113">
        <v>13.0</v>
      </c>
      <c r="N1" s="113">
        <v>14.0</v>
      </c>
      <c r="O1" s="113">
        <v>15.0</v>
      </c>
      <c r="P1" s="113">
        <v>16.0</v>
      </c>
      <c r="Q1" s="113">
        <v>17.0</v>
      </c>
      <c r="R1" s="113">
        <v>18.0</v>
      </c>
      <c r="S1" s="113">
        <v>19.0</v>
      </c>
      <c r="T1" s="113">
        <v>20.0</v>
      </c>
      <c r="U1" s="113">
        <v>21.0</v>
      </c>
      <c r="V1" s="113">
        <v>22.0</v>
      </c>
      <c r="W1" s="113">
        <v>23.0</v>
      </c>
      <c r="X1" s="113">
        <v>24.0</v>
      </c>
      <c r="Y1" s="113">
        <v>25.0</v>
      </c>
      <c r="Z1" s="113">
        <v>26.0</v>
      </c>
      <c r="AA1" s="113">
        <v>27.0</v>
      </c>
      <c r="AB1" s="113">
        <v>28.0</v>
      </c>
      <c r="AC1" s="113">
        <v>29.0</v>
      </c>
      <c r="AD1" s="113">
        <v>30.0</v>
      </c>
      <c r="AE1" s="113">
        <v>31.0</v>
      </c>
      <c r="AF1" s="113">
        <v>32.0</v>
      </c>
      <c r="AG1" s="113">
        <v>33.0</v>
      </c>
      <c r="AH1" s="113">
        <v>34.0</v>
      </c>
      <c r="AI1" s="113">
        <v>35.0</v>
      </c>
      <c r="AJ1" s="113">
        <v>36.0</v>
      </c>
      <c r="AK1" s="113">
        <v>37.0</v>
      </c>
      <c r="AL1" s="114">
        <v>38.0</v>
      </c>
    </row>
    <row r="2" ht="18.0" customHeight="1">
      <c r="A2" s="115" t="s">
        <v>97</v>
      </c>
      <c r="B2" s="115" t="s">
        <v>2</v>
      </c>
      <c r="C2" s="115" t="s">
        <v>98</v>
      </c>
      <c r="D2" s="115" t="s">
        <v>99</v>
      </c>
      <c r="E2" s="115" t="s">
        <v>100</v>
      </c>
      <c r="F2" s="115" t="s">
        <v>122</v>
      </c>
      <c r="G2" s="115" t="s">
        <v>101</v>
      </c>
      <c r="H2" s="115" t="s">
        <v>36</v>
      </c>
      <c r="I2" s="115" t="s">
        <v>123</v>
      </c>
      <c r="J2" s="115" t="s">
        <v>124</v>
      </c>
      <c r="K2" s="116" t="s">
        <v>125</v>
      </c>
      <c r="L2" s="115" t="s">
        <v>126</v>
      </c>
      <c r="M2" s="115" t="s">
        <v>39</v>
      </c>
      <c r="N2" s="115" t="s">
        <v>40</v>
      </c>
      <c r="O2" s="115" t="s">
        <v>41</v>
      </c>
      <c r="P2" s="115" t="s">
        <v>42</v>
      </c>
      <c r="Q2" s="115" t="s">
        <v>43</v>
      </c>
      <c r="R2" s="115" t="s">
        <v>44</v>
      </c>
      <c r="S2" s="115" t="s">
        <v>45</v>
      </c>
      <c r="T2" s="115" t="s">
        <v>46</v>
      </c>
      <c r="U2" s="115" t="s">
        <v>47</v>
      </c>
      <c r="V2" s="115" t="s">
        <v>48</v>
      </c>
      <c r="W2" s="115" t="s">
        <v>49</v>
      </c>
      <c r="X2" s="115" t="s">
        <v>50</v>
      </c>
      <c r="Y2" s="115" t="s">
        <v>51</v>
      </c>
      <c r="Z2" s="115" t="s">
        <v>52</v>
      </c>
      <c r="AA2" s="115" t="s">
        <v>53</v>
      </c>
      <c r="AB2" s="115" t="s">
        <v>54</v>
      </c>
      <c r="AC2" s="115" t="s">
        <v>55</v>
      </c>
      <c r="AD2" s="115" t="s">
        <v>56</v>
      </c>
      <c r="AE2" s="115" t="s">
        <v>57</v>
      </c>
      <c r="AF2" s="115" t="s">
        <v>58</v>
      </c>
      <c r="AG2" s="115" t="s">
        <v>59</v>
      </c>
      <c r="AH2" s="115" t="s">
        <v>60</v>
      </c>
      <c r="AI2" s="115" t="s">
        <v>61</v>
      </c>
      <c r="AJ2" s="117" t="s">
        <v>62</v>
      </c>
      <c r="AK2" s="115"/>
      <c r="AL2" s="118" t="s">
        <v>127</v>
      </c>
    </row>
    <row r="3" ht="18.0" customHeight="1">
      <c r="A3" s="119">
        <v>1.0</v>
      </c>
      <c r="B3" s="95" t="s">
        <v>102</v>
      </c>
      <c r="C3" s="96" t="s">
        <v>103</v>
      </c>
      <c r="D3" s="96" t="s">
        <v>104</v>
      </c>
      <c r="E3" s="96" t="s">
        <v>105</v>
      </c>
      <c r="F3" s="97" t="s">
        <v>128</v>
      </c>
      <c r="G3" s="97" t="s">
        <v>106</v>
      </c>
      <c r="H3" s="120">
        <v>1.0</v>
      </c>
      <c r="I3" s="120" t="s">
        <v>129</v>
      </c>
      <c r="J3" s="120">
        <v>3.02</v>
      </c>
      <c r="K3" s="121">
        <v>8.10000001E8</v>
      </c>
      <c r="L3" s="96" t="s">
        <v>130</v>
      </c>
      <c r="M3" s="97" t="s">
        <v>131</v>
      </c>
      <c r="N3" s="122">
        <v>940.0</v>
      </c>
      <c r="O3" s="122">
        <v>6000.0</v>
      </c>
      <c r="P3" s="122">
        <v>2000.0</v>
      </c>
      <c r="Q3" s="97" t="s">
        <v>132</v>
      </c>
      <c r="R3" s="97" t="s">
        <v>133</v>
      </c>
      <c r="S3" s="123"/>
      <c r="T3" s="97" t="s">
        <v>134</v>
      </c>
      <c r="U3" s="122">
        <v>9990.0</v>
      </c>
      <c r="V3" s="97" t="s">
        <v>135</v>
      </c>
      <c r="W3" s="123"/>
      <c r="X3" s="97" t="s">
        <v>134</v>
      </c>
      <c r="Y3" s="122">
        <v>22666.0</v>
      </c>
      <c r="Z3" s="97" t="s">
        <v>135</v>
      </c>
      <c r="AA3" s="97" t="s">
        <v>136</v>
      </c>
      <c r="AB3" s="97" t="s">
        <v>137</v>
      </c>
      <c r="AC3" s="124"/>
      <c r="AD3" s="124"/>
      <c r="AE3" s="125"/>
      <c r="AF3" s="123"/>
      <c r="AG3" s="123"/>
      <c r="AH3" s="123"/>
      <c r="AI3" s="126" t="s">
        <v>138</v>
      </c>
      <c r="AJ3" s="126" t="s">
        <v>139</v>
      </c>
      <c r="AK3" s="127" t="s">
        <v>140</v>
      </c>
      <c r="AL3" s="128">
        <v>1.410100000001E12</v>
      </c>
    </row>
    <row r="4" ht="18.0" customHeight="1">
      <c r="A4" s="119">
        <v>2.0</v>
      </c>
      <c r="B4" s="95" t="s">
        <v>107</v>
      </c>
      <c r="C4" s="99" t="s">
        <v>103</v>
      </c>
      <c r="D4" s="99" t="s">
        <v>108</v>
      </c>
      <c r="E4" s="99" t="s">
        <v>109</v>
      </c>
      <c r="F4" s="100" t="s">
        <v>128</v>
      </c>
      <c r="G4" s="100" t="s">
        <v>106</v>
      </c>
      <c r="H4" s="129">
        <v>1.0</v>
      </c>
      <c r="I4" s="130">
        <v>244146.5986111111</v>
      </c>
      <c r="J4" s="129">
        <v>2.55</v>
      </c>
      <c r="K4" s="121">
        <v>8.10000001E8</v>
      </c>
      <c r="L4" s="96" t="s">
        <v>130</v>
      </c>
      <c r="M4" s="100" t="s">
        <v>141</v>
      </c>
      <c r="N4" s="131">
        <v>2000.0</v>
      </c>
      <c r="O4" s="131">
        <v>4000.0</v>
      </c>
      <c r="P4" s="129">
        <v>500.0</v>
      </c>
      <c r="Q4" s="100" t="s">
        <v>142</v>
      </c>
      <c r="R4" s="100" t="s">
        <v>133</v>
      </c>
      <c r="S4" s="132"/>
      <c r="T4" s="100" t="s">
        <v>134</v>
      </c>
      <c r="U4" s="132"/>
      <c r="V4" s="100" t="s">
        <v>143</v>
      </c>
      <c r="W4" s="129">
        <v>43.0</v>
      </c>
      <c r="X4" s="100" t="s">
        <v>134</v>
      </c>
      <c r="Y4" s="131">
        <v>12000.0</v>
      </c>
      <c r="Z4" s="100" t="s">
        <v>135</v>
      </c>
      <c r="AA4" s="100" t="s">
        <v>144</v>
      </c>
      <c r="AB4" s="100" t="s">
        <v>145</v>
      </c>
      <c r="AC4" s="132"/>
      <c r="AD4" s="132"/>
      <c r="AE4" s="132"/>
      <c r="AF4" s="132"/>
      <c r="AG4" s="129">
        <v>1.0</v>
      </c>
      <c r="AH4" s="129">
        <v>1.0</v>
      </c>
      <c r="AI4" s="133" t="s">
        <v>146</v>
      </c>
      <c r="AJ4" s="133" t="s">
        <v>147</v>
      </c>
      <c r="AK4" s="134" t="s">
        <v>140</v>
      </c>
      <c r="AL4" s="128">
        <v>1.410100000002E12</v>
      </c>
    </row>
    <row r="5" ht="18.0" customHeight="1">
      <c r="A5" s="119">
        <v>3.0</v>
      </c>
      <c r="B5" s="95" t="s">
        <v>110</v>
      </c>
      <c r="C5" s="99" t="s">
        <v>103</v>
      </c>
      <c r="D5" s="99" t="s">
        <v>111</v>
      </c>
      <c r="E5" s="99" t="s">
        <v>112</v>
      </c>
      <c r="F5" s="100" t="s">
        <v>128</v>
      </c>
      <c r="G5" s="100" t="s">
        <v>113</v>
      </c>
      <c r="H5" s="129">
        <v>1.0</v>
      </c>
      <c r="I5" s="129" t="s">
        <v>148</v>
      </c>
      <c r="J5" s="129">
        <v>1.66</v>
      </c>
      <c r="K5" s="121">
        <v>8.10000001E8</v>
      </c>
      <c r="L5" s="96" t="s">
        <v>130</v>
      </c>
      <c r="M5" s="100" t="s">
        <v>149</v>
      </c>
      <c r="N5" s="131">
        <v>5000.0</v>
      </c>
      <c r="O5" s="131">
        <v>3000.0</v>
      </c>
      <c r="P5" s="129">
        <v>500.0</v>
      </c>
      <c r="Q5" s="100" t="s">
        <v>125</v>
      </c>
      <c r="R5" s="100" t="s">
        <v>133</v>
      </c>
      <c r="S5" s="129">
        <v>46.0</v>
      </c>
      <c r="T5" s="100" t="s">
        <v>134</v>
      </c>
      <c r="U5" s="131">
        <v>10000.0</v>
      </c>
      <c r="V5" s="100" t="s">
        <v>135</v>
      </c>
      <c r="W5" s="129">
        <v>41.0</v>
      </c>
      <c r="X5" s="100" t="s">
        <v>134</v>
      </c>
      <c r="Y5" s="131">
        <v>10000.0</v>
      </c>
      <c r="Z5" s="100" t="s">
        <v>135</v>
      </c>
      <c r="AA5" s="100" t="s">
        <v>136</v>
      </c>
      <c r="AB5" s="100" t="s">
        <v>137</v>
      </c>
      <c r="AC5" s="132"/>
      <c r="AD5" s="132"/>
      <c r="AE5" s="135"/>
      <c r="AF5" s="135"/>
      <c r="AG5" s="135"/>
      <c r="AH5" s="129">
        <v>1.0</v>
      </c>
      <c r="AI5" s="136"/>
      <c r="AJ5" s="136"/>
      <c r="AK5" s="134" t="s">
        <v>140</v>
      </c>
      <c r="AL5" s="128">
        <v>1.410100000003E12</v>
      </c>
    </row>
    <row r="6" ht="18.0" customHeight="1">
      <c r="A6" s="119">
        <v>4.0</v>
      </c>
      <c r="B6" s="95" t="s">
        <v>114</v>
      </c>
      <c r="C6" s="99" t="s">
        <v>115</v>
      </c>
      <c r="D6" s="99" t="s">
        <v>116</v>
      </c>
      <c r="E6" s="99" t="s">
        <v>117</v>
      </c>
      <c r="F6" s="100" t="s">
        <v>128</v>
      </c>
      <c r="G6" s="100" t="s">
        <v>118</v>
      </c>
      <c r="H6" s="129">
        <v>1.0</v>
      </c>
      <c r="I6" s="129" t="s">
        <v>150</v>
      </c>
      <c r="J6" s="129">
        <v>4.0</v>
      </c>
      <c r="K6" s="121">
        <v>8.10000001E8</v>
      </c>
      <c r="L6" s="96" t="s">
        <v>130</v>
      </c>
      <c r="M6" s="100" t="s">
        <v>149</v>
      </c>
      <c r="N6" s="131">
        <v>2200.0</v>
      </c>
      <c r="O6" s="131">
        <v>3500.0</v>
      </c>
      <c r="P6" s="129">
        <v>500.0</v>
      </c>
      <c r="Q6" s="100" t="s">
        <v>151</v>
      </c>
      <c r="R6" s="100" t="s">
        <v>152</v>
      </c>
      <c r="S6" s="129">
        <v>71.0</v>
      </c>
      <c r="T6" s="100" t="s">
        <v>153</v>
      </c>
      <c r="U6" s="137"/>
      <c r="V6" s="100" t="s">
        <v>135</v>
      </c>
      <c r="W6" s="129">
        <v>54.0</v>
      </c>
      <c r="X6" s="100" t="s">
        <v>154</v>
      </c>
      <c r="Y6" s="131">
        <v>10000.0</v>
      </c>
      <c r="Z6" s="100" t="s">
        <v>135</v>
      </c>
      <c r="AA6" s="100" t="s">
        <v>136</v>
      </c>
      <c r="AB6" s="100" t="s">
        <v>145</v>
      </c>
      <c r="AC6" s="132"/>
      <c r="AD6" s="132"/>
      <c r="AE6" s="137"/>
      <c r="AF6" s="135"/>
      <c r="AG6" s="135"/>
      <c r="AH6" s="135"/>
      <c r="AI6" s="136"/>
      <c r="AJ6" s="133" t="s">
        <v>155</v>
      </c>
      <c r="AK6" s="134" t="s">
        <v>140</v>
      </c>
      <c r="AL6" s="128">
        <v>1.410100000004E12</v>
      </c>
    </row>
    <row r="7" ht="18.0" customHeight="1">
      <c r="A7" s="119">
        <v>5.0</v>
      </c>
      <c r="B7" s="95" t="s">
        <v>119</v>
      </c>
      <c r="C7" s="102" t="s">
        <v>115</v>
      </c>
      <c r="D7" s="102" t="s">
        <v>120</v>
      </c>
      <c r="E7" s="102" t="s">
        <v>121</v>
      </c>
      <c r="F7" s="103" t="s">
        <v>128</v>
      </c>
      <c r="G7" s="103" t="s">
        <v>118</v>
      </c>
      <c r="H7" s="138">
        <v>1.0</v>
      </c>
      <c r="I7" s="138" t="s">
        <v>156</v>
      </c>
      <c r="J7" s="138">
        <v>3.43</v>
      </c>
      <c r="K7" s="121">
        <v>8.10000001E8</v>
      </c>
      <c r="L7" s="96" t="s">
        <v>130</v>
      </c>
      <c r="M7" s="103" t="s">
        <v>149</v>
      </c>
      <c r="N7" s="139">
        <v>2500.0</v>
      </c>
      <c r="O7" s="139">
        <v>3000.0</v>
      </c>
      <c r="P7" s="140"/>
      <c r="Q7" s="138">
        <v>2.0</v>
      </c>
      <c r="R7" s="103" t="s">
        <v>133</v>
      </c>
      <c r="S7" s="138">
        <v>49.0</v>
      </c>
      <c r="T7" s="103" t="s">
        <v>134</v>
      </c>
      <c r="U7" s="139">
        <v>6000.0</v>
      </c>
      <c r="V7" s="103" t="s">
        <v>135</v>
      </c>
      <c r="W7" s="138">
        <v>53.0</v>
      </c>
      <c r="X7" s="103" t="s">
        <v>153</v>
      </c>
      <c r="Y7" s="140"/>
      <c r="Z7" s="103" t="s">
        <v>135</v>
      </c>
      <c r="AA7" s="103" t="s">
        <v>136</v>
      </c>
      <c r="AB7" s="103" t="s">
        <v>137</v>
      </c>
      <c r="AC7" s="141"/>
      <c r="AD7" s="141"/>
      <c r="AE7" s="140"/>
      <c r="AF7" s="140"/>
      <c r="AG7" s="140"/>
      <c r="AH7" s="138">
        <v>1.0</v>
      </c>
      <c r="AI7" s="142" t="s">
        <v>157</v>
      </c>
      <c r="AJ7" s="142" t="s">
        <v>158</v>
      </c>
      <c r="AK7" s="143" t="s">
        <v>140</v>
      </c>
      <c r="AL7" s="128">
        <v>1.410100000005E12</v>
      </c>
    </row>
    <row r="8" ht="18.0" customHeight="1">
      <c r="A8" s="144"/>
      <c r="B8" s="113"/>
      <c r="C8" s="113"/>
      <c r="D8" s="113"/>
      <c r="E8" s="113"/>
      <c r="F8" s="113"/>
      <c r="G8" s="113"/>
      <c r="H8" s="144"/>
      <c r="I8" s="113"/>
      <c r="J8" s="113"/>
      <c r="K8" s="114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4"/>
      <c r="AM8" s="113"/>
      <c r="AN8" s="113"/>
      <c r="AO8" s="113"/>
      <c r="AP8" s="113"/>
    </row>
    <row r="9" ht="18.0" customHeight="1">
      <c r="A9" s="144"/>
      <c r="B9" s="113"/>
      <c r="C9" s="113"/>
      <c r="D9" s="113"/>
      <c r="E9" s="113"/>
      <c r="F9" s="113"/>
      <c r="G9" s="113"/>
      <c r="H9" s="144"/>
      <c r="I9" s="113"/>
      <c r="J9" s="113"/>
      <c r="K9" s="114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4"/>
      <c r="AM9" s="113"/>
      <c r="AN9" s="113"/>
      <c r="AO9" s="113"/>
      <c r="AP9" s="113"/>
    </row>
    <row r="10" ht="18.0" customHeight="1">
      <c r="A10" s="144"/>
      <c r="B10" s="113"/>
      <c r="C10" s="113"/>
      <c r="D10" s="113"/>
      <c r="E10" s="113"/>
      <c r="F10" s="113"/>
      <c r="G10" s="113"/>
      <c r="H10" s="144"/>
      <c r="I10" s="113"/>
      <c r="J10" s="113"/>
      <c r="K10" s="114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4"/>
      <c r="AM10" s="113"/>
      <c r="AN10" s="113"/>
      <c r="AO10" s="113"/>
      <c r="AP10" s="113"/>
    </row>
    <row r="11" ht="18.0" customHeight="1">
      <c r="A11" s="144"/>
      <c r="B11" s="113"/>
      <c r="C11" s="113"/>
      <c r="D11" s="113"/>
      <c r="E11" s="113"/>
      <c r="F11" s="113"/>
      <c r="G11" s="113"/>
      <c r="H11" s="144"/>
      <c r="I11" s="113"/>
      <c r="J11" s="113"/>
      <c r="K11" s="114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4"/>
      <c r="AM11" s="113"/>
      <c r="AN11" s="113"/>
      <c r="AO11" s="113"/>
      <c r="AP11" s="113"/>
    </row>
    <row r="12" ht="18.0" customHeight="1">
      <c r="A12" s="144"/>
      <c r="B12" s="113"/>
      <c r="C12" s="113"/>
      <c r="D12" s="113"/>
      <c r="E12" s="113"/>
      <c r="F12" s="113"/>
      <c r="G12" s="113"/>
      <c r="H12" s="144"/>
      <c r="I12" s="113"/>
      <c r="J12" s="113"/>
      <c r="K12" s="114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4"/>
      <c r="AM12" s="113"/>
      <c r="AN12" s="113"/>
      <c r="AO12" s="113"/>
      <c r="AP12" s="113"/>
    </row>
    <row r="13" ht="18.0" customHeight="1">
      <c r="A13" s="144"/>
      <c r="B13" s="113"/>
      <c r="C13" s="113"/>
      <c r="D13" s="113"/>
      <c r="E13" s="113"/>
      <c r="F13" s="113"/>
      <c r="G13" s="113"/>
      <c r="H13" s="144"/>
      <c r="I13" s="113"/>
      <c r="J13" s="113"/>
      <c r="K13" s="114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4"/>
      <c r="AM13" s="113"/>
      <c r="AN13" s="113"/>
      <c r="AO13" s="113"/>
      <c r="AP13" s="113"/>
    </row>
    <row r="14" ht="18.0" customHeight="1">
      <c r="A14" s="144"/>
      <c r="B14" s="113"/>
      <c r="C14" s="113"/>
      <c r="D14" s="113"/>
      <c r="E14" s="113"/>
      <c r="F14" s="113"/>
      <c r="G14" s="113"/>
      <c r="H14" s="144"/>
      <c r="I14" s="113"/>
      <c r="J14" s="113"/>
      <c r="K14" s="114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4"/>
      <c r="AM14" s="113"/>
      <c r="AN14" s="113"/>
      <c r="AO14" s="113"/>
      <c r="AP14" s="113"/>
    </row>
    <row r="15" ht="18.0" customHeight="1">
      <c r="A15" s="144"/>
      <c r="B15" s="113"/>
      <c r="C15" s="113"/>
      <c r="D15" s="113"/>
      <c r="E15" s="113"/>
      <c r="F15" s="113"/>
      <c r="G15" s="113"/>
      <c r="H15" s="144"/>
      <c r="I15" s="113"/>
      <c r="J15" s="113"/>
      <c r="K15" s="114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4"/>
      <c r="AM15" s="113"/>
      <c r="AN15" s="113"/>
      <c r="AO15" s="113"/>
      <c r="AP15" s="113"/>
    </row>
    <row r="16" ht="18.0" customHeight="1">
      <c r="A16" s="144"/>
      <c r="B16" s="113"/>
      <c r="C16" s="113"/>
      <c r="D16" s="113"/>
      <c r="E16" s="113"/>
      <c r="F16" s="113"/>
      <c r="G16" s="113"/>
      <c r="H16" s="144"/>
      <c r="I16" s="113"/>
      <c r="J16" s="113"/>
      <c r="K16" s="114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4"/>
      <c r="AM16" s="113"/>
      <c r="AN16" s="113"/>
      <c r="AO16" s="113"/>
      <c r="AP16" s="113"/>
    </row>
    <row r="17" ht="18.0" customHeight="1">
      <c r="A17" s="144"/>
      <c r="B17" s="113"/>
      <c r="C17" s="113"/>
      <c r="D17" s="113"/>
      <c r="E17" s="113"/>
      <c r="F17" s="113"/>
      <c r="G17" s="113"/>
      <c r="H17" s="144"/>
      <c r="I17" s="113"/>
      <c r="J17" s="113"/>
      <c r="K17" s="114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4"/>
      <c r="AM17" s="113"/>
      <c r="AN17" s="113"/>
      <c r="AO17" s="113"/>
      <c r="AP17" s="113"/>
    </row>
    <row r="18" ht="18.0" customHeight="1">
      <c r="A18" s="144"/>
      <c r="B18" s="113"/>
      <c r="C18" s="113"/>
      <c r="D18" s="113"/>
      <c r="E18" s="113"/>
      <c r="F18" s="113"/>
      <c r="G18" s="113"/>
      <c r="H18" s="144"/>
      <c r="I18" s="113"/>
      <c r="J18" s="113"/>
      <c r="K18" s="114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4"/>
      <c r="AM18" s="113"/>
      <c r="AN18" s="113"/>
      <c r="AO18" s="113"/>
      <c r="AP18" s="113"/>
    </row>
    <row r="19" ht="18.0" customHeight="1">
      <c r="A19" s="144"/>
      <c r="B19" s="113"/>
      <c r="C19" s="113"/>
      <c r="D19" s="113"/>
      <c r="E19" s="113"/>
      <c r="F19" s="113"/>
      <c r="G19" s="113"/>
      <c r="H19" s="144"/>
      <c r="I19" s="113"/>
      <c r="J19" s="113"/>
      <c r="K19" s="114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4"/>
      <c r="AM19" s="113"/>
      <c r="AN19" s="113"/>
      <c r="AO19" s="113"/>
      <c r="AP19" s="113"/>
    </row>
    <row r="20" ht="18.0" customHeight="1">
      <c r="A20" s="144"/>
      <c r="B20" s="113"/>
      <c r="C20" s="113"/>
      <c r="D20" s="113"/>
      <c r="E20" s="113"/>
      <c r="F20" s="113"/>
      <c r="G20" s="113"/>
      <c r="H20" s="144"/>
      <c r="I20" s="113"/>
      <c r="J20" s="113"/>
      <c r="K20" s="114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4"/>
      <c r="AM20" s="113"/>
      <c r="AN20" s="113"/>
      <c r="AO20" s="113"/>
      <c r="AP20" s="113"/>
    </row>
    <row r="21" ht="18.0" customHeight="1">
      <c r="A21" s="144"/>
      <c r="B21" s="113"/>
      <c r="C21" s="113"/>
      <c r="D21" s="113"/>
      <c r="E21" s="113"/>
      <c r="F21" s="113"/>
      <c r="G21" s="113"/>
      <c r="H21" s="144"/>
      <c r="I21" s="113"/>
      <c r="J21" s="113"/>
      <c r="K21" s="114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4"/>
      <c r="AM21" s="113"/>
      <c r="AN21" s="113"/>
      <c r="AO21" s="113"/>
      <c r="AP21" s="113"/>
    </row>
    <row r="22" ht="18.0" customHeight="1">
      <c r="A22" s="144"/>
      <c r="B22" s="113"/>
      <c r="C22" s="113"/>
      <c r="D22" s="113"/>
      <c r="E22" s="113"/>
      <c r="F22" s="113"/>
      <c r="G22" s="113"/>
      <c r="H22" s="144"/>
      <c r="I22" s="113"/>
      <c r="J22" s="113"/>
      <c r="K22" s="114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4"/>
      <c r="AM22" s="113"/>
      <c r="AN22" s="113"/>
      <c r="AO22" s="113"/>
      <c r="AP22" s="113"/>
    </row>
    <row r="23" ht="18.0" customHeight="1">
      <c r="A23" s="144"/>
      <c r="B23" s="113"/>
      <c r="C23" s="113"/>
      <c r="D23" s="113"/>
      <c r="E23" s="113"/>
      <c r="F23" s="113"/>
      <c r="G23" s="113"/>
      <c r="H23" s="144"/>
      <c r="I23" s="113"/>
      <c r="J23" s="113"/>
      <c r="K23" s="114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4"/>
      <c r="AM23" s="113"/>
      <c r="AN23" s="113"/>
      <c r="AO23" s="113"/>
      <c r="AP23" s="113"/>
    </row>
    <row r="24" ht="18.0" customHeight="1">
      <c r="A24" s="144"/>
      <c r="B24" s="113"/>
      <c r="C24" s="113"/>
      <c r="D24" s="113"/>
      <c r="E24" s="113"/>
      <c r="F24" s="113"/>
      <c r="G24" s="113"/>
      <c r="H24" s="144"/>
      <c r="I24" s="113"/>
      <c r="J24" s="113"/>
      <c r="K24" s="114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4"/>
      <c r="AM24" s="113"/>
      <c r="AN24" s="113"/>
      <c r="AO24" s="113"/>
      <c r="AP24" s="113"/>
    </row>
    <row r="25" ht="18.0" customHeight="1">
      <c r="A25" s="144"/>
      <c r="B25" s="113"/>
      <c r="C25" s="113"/>
      <c r="D25" s="113"/>
      <c r="E25" s="113"/>
      <c r="F25" s="113"/>
      <c r="G25" s="113"/>
      <c r="H25" s="144"/>
      <c r="I25" s="113"/>
      <c r="J25" s="113"/>
      <c r="K25" s="114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4"/>
      <c r="AM25" s="113"/>
      <c r="AN25" s="113"/>
      <c r="AO25" s="113"/>
      <c r="AP25" s="113"/>
    </row>
    <row r="26" ht="18.0" customHeight="1">
      <c r="A26" s="144"/>
      <c r="B26" s="113"/>
      <c r="C26" s="113"/>
      <c r="D26" s="113"/>
      <c r="E26" s="113"/>
      <c r="F26" s="113"/>
      <c r="G26" s="113"/>
      <c r="H26" s="144"/>
      <c r="I26" s="113"/>
      <c r="J26" s="113"/>
      <c r="K26" s="114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4"/>
      <c r="AM26" s="113"/>
      <c r="AN26" s="113"/>
      <c r="AO26" s="113"/>
      <c r="AP26" s="113"/>
    </row>
    <row r="27" ht="18.0" customHeight="1">
      <c r="A27" s="144"/>
      <c r="B27" s="113"/>
      <c r="C27" s="113"/>
      <c r="D27" s="113"/>
      <c r="E27" s="113"/>
      <c r="F27" s="113"/>
      <c r="G27" s="113"/>
      <c r="H27" s="144"/>
      <c r="I27" s="113"/>
      <c r="J27" s="113"/>
      <c r="K27" s="114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4"/>
      <c r="AM27" s="113"/>
      <c r="AN27" s="113"/>
      <c r="AO27" s="113"/>
      <c r="AP27" s="113"/>
    </row>
    <row r="28" ht="18.0" customHeight="1">
      <c r="A28" s="144"/>
      <c r="B28" s="113"/>
      <c r="C28" s="113"/>
      <c r="D28" s="113"/>
      <c r="E28" s="113"/>
      <c r="F28" s="113"/>
      <c r="G28" s="113"/>
      <c r="H28" s="144"/>
      <c r="I28" s="113"/>
      <c r="J28" s="113"/>
      <c r="K28" s="114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4"/>
      <c r="AM28" s="113"/>
      <c r="AN28" s="113"/>
      <c r="AO28" s="113"/>
      <c r="AP28" s="113"/>
    </row>
    <row r="29" ht="18.0" customHeight="1">
      <c r="A29" s="144"/>
      <c r="B29" s="113"/>
      <c r="C29" s="113"/>
      <c r="D29" s="113"/>
      <c r="E29" s="113"/>
      <c r="F29" s="113"/>
      <c r="G29" s="113"/>
      <c r="H29" s="144"/>
      <c r="I29" s="113"/>
      <c r="J29" s="113"/>
      <c r="K29" s="114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4"/>
      <c r="AM29" s="113"/>
      <c r="AN29" s="113"/>
      <c r="AO29" s="113"/>
      <c r="AP29" s="113"/>
    </row>
    <row r="30" ht="18.0" customHeight="1">
      <c r="A30" s="144"/>
      <c r="B30" s="113"/>
      <c r="C30" s="113"/>
      <c r="D30" s="113"/>
      <c r="E30" s="113"/>
      <c r="F30" s="113"/>
      <c r="G30" s="113"/>
      <c r="H30" s="144"/>
      <c r="I30" s="113"/>
      <c r="J30" s="113"/>
      <c r="K30" s="114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4"/>
      <c r="AM30" s="113"/>
      <c r="AN30" s="113"/>
      <c r="AO30" s="113"/>
      <c r="AP30" s="113"/>
    </row>
    <row r="31" ht="18.0" customHeight="1">
      <c r="A31" s="144"/>
      <c r="B31" s="113"/>
      <c r="C31" s="113"/>
      <c r="D31" s="113"/>
      <c r="E31" s="113"/>
      <c r="F31" s="113"/>
      <c r="G31" s="113"/>
      <c r="H31" s="144"/>
      <c r="I31" s="113"/>
      <c r="J31" s="113"/>
      <c r="K31" s="114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4"/>
      <c r="AM31" s="113"/>
      <c r="AN31" s="113"/>
      <c r="AO31" s="113"/>
      <c r="AP31" s="113"/>
    </row>
    <row r="32" ht="18.0" customHeight="1">
      <c r="A32" s="144"/>
      <c r="B32" s="113"/>
      <c r="C32" s="113"/>
      <c r="D32" s="113"/>
      <c r="E32" s="113"/>
      <c r="F32" s="113"/>
      <c r="G32" s="113"/>
      <c r="H32" s="144"/>
      <c r="I32" s="113"/>
      <c r="J32" s="113"/>
      <c r="K32" s="114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4"/>
      <c r="AM32" s="113"/>
      <c r="AN32" s="113"/>
      <c r="AO32" s="113"/>
      <c r="AP32" s="113"/>
    </row>
    <row r="33" ht="18.0" customHeight="1">
      <c r="A33" s="144"/>
      <c r="B33" s="113"/>
      <c r="C33" s="113"/>
      <c r="D33" s="113"/>
      <c r="E33" s="113"/>
      <c r="F33" s="113"/>
      <c r="G33" s="113"/>
      <c r="H33" s="144"/>
      <c r="I33" s="113"/>
      <c r="J33" s="113"/>
      <c r="K33" s="114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4"/>
      <c r="AM33" s="113"/>
      <c r="AN33" s="113"/>
      <c r="AO33" s="113"/>
      <c r="AP33" s="113"/>
    </row>
    <row r="34" ht="18.0" customHeight="1">
      <c r="A34" s="144"/>
      <c r="B34" s="113"/>
      <c r="C34" s="113"/>
      <c r="D34" s="113"/>
      <c r="E34" s="113"/>
      <c r="F34" s="113"/>
      <c r="G34" s="113"/>
      <c r="H34" s="144"/>
      <c r="I34" s="113"/>
      <c r="J34" s="113"/>
      <c r="K34" s="114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4"/>
      <c r="AM34" s="113"/>
      <c r="AN34" s="113"/>
      <c r="AO34" s="113"/>
      <c r="AP34" s="113"/>
    </row>
    <row r="35" ht="18.0" customHeight="1">
      <c r="A35" s="144"/>
      <c r="B35" s="113"/>
      <c r="C35" s="113"/>
      <c r="D35" s="113"/>
      <c r="E35" s="113"/>
      <c r="F35" s="113"/>
      <c r="G35" s="113"/>
      <c r="H35" s="144"/>
      <c r="I35" s="113"/>
      <c r="J35" s="113"/>
      <c r="K35" s="114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4"/>
      <c r="AM35" s="113"/>
      <c r="AN35" s="113"/>
      <c r="AO35" s="113"/>
      <c r="AP35" s="113"/>
    </row>
    <row r="36" ht="18.0" customHeight="1">
      <c r="A36" s="144"/>
      <c r="B36" s="113"/>
      <c r="C36" s="113"/>
      <c r="D36" s="113"/>
      <c r="E36" s="113"/>
      <c r="F36" s="113"/>
      <c r="G36" s="113"/>
      <c r="H36" s="144"/>
      <c r="I36" s="113"/>
      <c r="J36" s="113"/>
      <c r="K36" s="114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4"/>
      <c r="AM36" s="113"/>
      <c r="AN36" s="113"/>
      <c r="AO36" s="113"/>
      <c r="AP36" s="113"/>
    </row>
    <row r="37" ht="18.0" customHeight="1">
      <c r="A37" s="144"/>
      <c r="B37" s="113"/>
      <c r="C37" s="113"/>
      <c r="D37" s="113"/>
      <c r="E37" s="113"/>
      <c r="F37" s="113"/>
      <c r="G37" s="113"/>
      <c r="H37" s="144"/>
      <c r="I37" s="113"/>
      <c r="J37" s="113"/>
      <c r="K37" s="114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4"/>
      <c r="AM37" s="113"/>
      <c r="AN37" s="113"/>
      <c r="AO37" s="113"/>
      <c r="AP37" s="113"/>
    </row>
    <row r="38" ht="18.0" customHeight="1">
      <c r="A38" s="144"/>
      <c r="B38" s="113"/>
      <c r="C38" s="113"/>
      <c r="D38" s="113"/>
      <c r="E38" s="113"/>
      <c r="F38" s="113"/>
      <c r="G38" s="113"/>
      <c r="H38" s="144"/>
      <c r="I38" s="113"/>
      <c r="J38" s="113"/>
      <c r="K38" s="114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3"/>
      <c r="AO38" s="113"/>
      <c r="AP38" s="113"/>
    </row>
    <row r="39" ht="18.0" customHeight="1">
      <c r="A39" s="144"/>
      <c r="B39" s="113"/>
      <c r="C39" s="113"/>
      <c r="D39" s="113"/>
      <c r="E39" s="113"/>
      <c r="F39" s="113"/>
      <c r="G39" s="113"/>
      <c r="H39" s="144"/>
      <c r="I39" s="113"/>
      <c r="J39" s="113"/>
      <c r="K39" s="114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4"/>
      <c r="AM39" s="113"/>
      <c r="AN39" s="113"/>
      <c r="AO39" s="113"/>
      <c r="AP39" s="113"/>
    </row>
    <row r="40" ht="18.0" customHeight="1">
      <c r="A40" s="144"/>
      <c r="B40" s="113"/>
      <c r="C40" s="113"/>
      <c r="D40" s="113"/>
      <c r="E40" s="113"/>
      <c r="F40" s="113"/>
      <c r="G40" s="113"/>
      <c r="H40" s="144"/>
      <c r="I40" s="113"/>
      <c r="J40" s="113"/>
      <c r="K40" s="114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4"/>
      <c r="AM40" s="113"/>
      <c r="AN40" s="113"/>
      <c r="AO40" s="113"/>
      <c r="AP40" s="113"/>
    </row>
    <row r="41" ht="18.0" customHeight="1">
      <c r="A41" s="144"/>
      <c r="B41" s="113"/>
      <c r="C41" s="113"/>
      <c r="D41" s="113"/>
      <c r="E41" s="113"/>
      <c r="F41" s="113"/>
      <c r="G41" s="113"/>
      <c r="H41" s="144"/>
      <c r="I41" s="113"/>
      <c r="J41" s="113"/>
      <c r="K41" s="114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4"/>
      <c r="AM41" s="113"/>
      <c r="AN41" s="113"/>
      <c r="AO41" s="113"/>
      <c r="AP41" s="113"/>
    </row>
    <row r="42" ht="18.0" customHeight="1">
      <c r="A42" s="144"/>
      <c r="B42" s="113"/>
      <c r="C42" s="113"/>
      <c r="D42" s="113"/>
      <c r="E42" s="113"/>
      <c r="F42" s="113"/>
      <c r="G42" s="113"/>
      <c r="H42" s="144"/>
      <c r="I42" s="113"/>
      <c r="J42" s="113"/>
      <c r="K42" s="114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4"/>
      <c r="AM42" s="113"/>
      <c r="AN42" s="113"/>
      <c r="AO42" s="113"/>
      <c r="AP42" s="113"/>
    </row>
    <row r="43" ht="18.0" customHeight="1">
      <c r="A43" s="144"/>
      <c r="B43" s="113"/>
      <c r="C43" s="113"/>
      <c r="D43" s="113"/>
      <c r="E43" s="113"/>
      <c r="F43" s="113"/>
      <c r="G43" s="113"/>
      <c r="H43" s="144"/>
      <c r="I43" s="113"/>
      <c r="J43" s="113"/>
      <c r="K43" s="114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4"/>
      <c r="AM43" s="113"/>
      <c r="AN43" s="113"/>
      <c r="AO43" s="113"/>
      <c r="AP43" s="113"/>
    </row>
    <row r="44" ht="18.0" customHeight="1">
      <c r="A44" s="144"/>
      <c r="B44" s="113"/>
      <c r="C44" s="113"/>
      <c r="D44" s="113"/>
      <c r="E44" s="113"/>
      <c r="F44" s="113"/>
      <c r="G44" s="113"/>
      <c r="H44" s="144"/>
      <c r="I44" s="113"/>
      <c r="J44" s="113"/>
      <c r="K44" s="114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4"/>
      <c r="AM44" s="113"/>
      <c r="AN44" s="113"/>
      <c r="AO44" s="113"/>
      <c r="AP44" s="113"/>
    </row>
    <row r="45" ht="18.0" customHeight="1">
      <c r="A45" s="144"/>
      <c r="B45" s="113"/>
      <c r="C45" s="113"/>
      <c r="D45" s="113"/>
      <c r="E45" s="113"/>
      <c r="F45" s="113"/>
      <c r="G45" s="113"/>
      <c r="H45" s="144"/>
      <c r="I45" s="113"/>
      <c r="J45" s="113"/>
      <c r="K45" s="114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4"/>
      <c r="AM45" s="113"/>
      <c r="AN45" s="113"/>
      <c r="AO45" s="113"/>
      <c r="AP45" s="113"/>
    </row>
    <row r="46" ht="18.0" customHeight="1">
      <c r="A46" s="144"/>
      <c r="B46" s="113"/>
      <c r="C46" s="113"/>
      <c r="D46" s="113"/>
      <c r="E46" s="113"/>
      <c r="F46" s="113"/>
      <c r="G46" s="113"/>
      <c r="H46" s="144"/>
      <c r="I46" s="113"/>
      <c r="J46" s="113"/>
      <c r="K46" s="114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4"/>
      <c r="AM46" s="113"/>
      <c r="AN46" s="113"/>
      <c r="AO46" s="113"/>
      <c r="AP46" s="113"/>
    </row>
    <row r="47" ht="18.0" customHeight="1">
      <c r="A47" s="144"/>
      <c r="B47" s="113"/>
      <c r="C47" s="113"/>
      <c r="D47" s="113"/>
      <c r="E47" s="113"/>
      <c r="F47" s="113"/>
      <c r="G47" s="113"/>
      <c r="H47" s="144"/>
      <c r="I47" s="113"/>
      <c r="J47" s="113"/>
      <c r="K47" s="114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4"/>
      <c r="AM47" s="113"/>
      <c r="AN47" s="113"/>
      <c r="AO47" s="113"/>
      <c r="AP47" s="113"/>
    </row>
    <row r="48" ht="18.0" customHeight="1">
      <c r="A48" s="144"/>
      <c r="B48" s="113"/>
      <c r="C48" s="113"/>
      <c r="D48" s="113"/>
      <c r="E48" s="113"/>
      <c r="F48" s="113"/>
      <c r="G48" s="113"/>
      <c r="H48" s="144"/>
      <c r="I48" s="113"/>
      <c r="J48" s="113"/>
      <c r="K48" s="114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4"/>
      <c r="AM48" s="113"/>
      <c r="AN48" s="113"/>
      <c r="AO48" s="113"/>
      <c r="AP48" s="113"/>
    </row>
    <row r="49" ht="18.0" customHeight="1">
      <c r="A49" s="144"/>
      <c r="B49" s="113"/>
      <c r="C49" s="113"/>
      <c r="D49" s="113"/>
      <c r="E49" s="113"/>
      <c r="F49" s="113"/>
      <c r="G49" s="113"/>
      <c r="H49" s="144"/>
      <c r="I49" s="113"/>
      <c r="J49" s="113"/>
      <c r="K49" s="114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4"/>
      <c r="AM49" s="113"/>
      <c r="AN49" s="113"/>
      <c r="AO49" s="113"/>
      <c r="AP49" s="113"/>
    </row>
    <row r="50" ht="18.0" customHeight="1">
      <c r="A50" s="144"/>
      <c r="B50" s="113"/>
      <c r="C50" s="113"/>
      <c r="D50" s="113"/>
      <c r="E50" s="113"/>
      <c r="F50" s="113"/>
      <c r="G50" s="113"/>
      <c r="H50" s="144"/>
      <c r="I50" s="113"/>
      <c r="J50" s="113"/>
      <c r="K50" s="114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4"/>
      <c r="AM50" s="113"/>
      <c r="AN50" s="113"/>
      <c r="AO50" s="113"/>
      <c r="AP50" s="113"/>
    </row>
    <row r="51" ht="18.0" customHeight="1">
      <c r="A51" s="144"/>
      <c r="B51" s="113"/>
      <c r="C51" s="113"/>
      <c r="D51" s="113"/>
      <c r="E51" s="113"/>
      <c r="F51" s="113"/>
      <c r="G51" s="113"/>
      <c r="H51" s="144"/>
      <c r="I51" s="113"/>
      <c r="J51" s="113"/>
      <c r="K51" s="114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4"/>
      <c r="AM51" s="113"/>
      <c r="AN51" s="113"/>
      <c r="AO51" s="113"/>
      <c r="AP51" s="113"/>
    </row>
    <row r="52" ht="18.0" customHeight="1">
      <c r="A52" s="144"/>
      <c r="B52" s="113"/>
      <c r="C52" s="113"/>
      <c r="D52" s="113"/>
      <c r="E52" s="113"/>
      <c r="F52" s="113"/>
      <c r="G52" s="113"/>
      <c r="H52" s="144"/>
      <c r="I52" s="113"/>
      <c r="J52" s="113"/>
      <c r="K52" s="114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4"/>
      <c r="AM52" s="113"/>
      <c r="AN52" s="113"/>
      <c r="AO52" s="113"/>
      <c r="AP52" s="113"/>
    </row>
    <row r="53" ht="18.0" customHeight="1">
      <c r="A53" s="144"/>
      <c r="B53" s="113"/>
      <c r="C53" s="113"/>
      <c r="D53" s="113"/>
      <c r="E53" s="113"/>
      <c r="F53" s="113"/>
      <c r="G53" s="113"/>
      <c r="H53" s="144"/>
      <c r="I53" s="113"/>
      <c r="J53" s="113"/>
      <c r="K53" s="114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4"/>
      <c r="AM53" s="113"/>
      <c r="AN53" s="113"/>
      <c r="AO53" s="113"/>
      <c r="AP53" s="113"/>
    </row>
    <row r="54" ht="18.0" customHeight="1">
      <c r="A54" s="144"/>
      <c r="B54" s="113"/>
      <c r="C54" s="113"/>
      <c r="D54" s="113"/>
      <c r="E54" s="113"/>
      <c r="F54" s="113"/>
      <c r="G54" s="113"/>
      <c r="H54" s="144"/>
      <c r="I54" s="113"/>
      <c r="J54" s="113"/>
      <c r="K54" s="114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4"/>
      <c r="AM54" s="113"/>
      <c r="AN54" s="113"/>
      <c r="AO54" s="113"/>
      <c r="AP54" s="113"/>
    </row>
    <row r="55" ht="18.0" customHeight="1">
      <c r="A55" s="144"/>
      <c r="B55" s="113"/>
      <c r="C55" s="113"/>
      <c r="D55" s="113"/>
      <c r="E55" s="113"/>
      <c r="F55" s="113"/>
      <c r="G55" s="113"/>
      <c r="H55" s="144"/>
      <c r="I55" s="113"/>
      <c r="J55" s="113"/>
      <c r="K55" s="114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4"/>
      <c r="AM55" s="113"/>
      <c r="AN55" s="113"/>
      <c r="AO55" s="113"/>
      <c r="AP55" s="113"/>
    </row>
    <row r="56" ht="18.0" customHeight="1">
      <c r="A56" s="144"/>
      <c r="B56" s="113"/>
      <c r="C56" s="113"/>
      <c r="D56" s="113"/>
      <c r="E56" s="113"/>
      <c r="F56" s="113"/>
      <c r="G56" s="113"/>
      <c r="H56" s="144"/>
      <c r="I56" s="113"/>
      <c r="J56" s="113"/>
      <c r="K56" s="114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4"/>
      <c r="AM56" s="113"/>
      <c r="AN56" s="113"/>
      <c r="AO56" s="113"/>
      <c r="AP56" s="113"/>
    </row>
    <row r="57" ht="18.0" customHeight="1">
      <c r="A57" s="144"/>
      <c r="B57" s="113"/>
      <c r="C57" s="113"/>
      <c r="D57" s="113"/>
      <c r="E57" s="113"/>
      <c r="F57" s="113"/>
      <c r="G57" s="113"/>
      <c r="H57" s="144"/>
      <c r="I57" s="113"/>
      <c r="J57" s="113"/>
      <c r="K57" s="114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4"/>
      <c r="AM57" s="113"/>
      <c r="AN57" s="113"/>
      <c r="AO57" s="113"/>
      <c r="AP57" s="113"/>
    </row>
    <row r="58" ht="18.0" customHeight="1">
      <c r="A58" s="144"/>
      <c r="B58" s="113"/>
      <c r="C58" s="113"/>
      <c r="D58" s="113"/>
      <c r="E58" s="113"/>
      <c r="F58" s="113"/>
      <c r="G58" s="113"/>
      <c r="H58" s="144"/>
      <c r="I58" s="113"/>
      <c r="J58" s="113"/>
      <c r="K58" s="114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4"/>
      <c r="AM58" s="113"/>
      <c r="AN58" s="113"/>
      <c r="AO58" s="113"/>
      <c r="AP58" s="113"/>
    </row>
    <row r="59" ht="18.0" customHeight="1">
      <c r="A59" s="144"/>
      <c r="B59" s="113"/>
      <c r="C59" s="113"/>
      <c r="D59" s="113"/>
      <c r="E59" s="113"/>
      <c r="F59" s="113"/>
      <c r="G59" s="113"/>
      <c r="H59" s="144"/>
      <c r="I59" s="113"/>
      <c r="J59" s="113"/>
      <c r="K59" s="114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4"/>
      <c r="AM59" s="113"/>
      <c r="AN59" s="113"/>
      <c r="AO59" s="113"/>
      <c r="AP59" s="113"/>
    </row>
    <row r="60" ht="18.0" customHeight="1">
      <c r="A60" s="144"/>
      <c r="B60" s="113"/>
      <c r="C60" s="113"/>
      <c r="D60" s="113"/>
      <c r="E60" s="113"/>
      <c r="F60" s="113"/>
      <c r="G60" s="113"/>
      <c r="H60" s="144"/>
      <c r="I60" s="113"/>
      <c r="J60" s="113"/>
      <c r="K60" s="114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4"/>
      <c r="AM60" s="113"/>
      <c r="AN60" s="113"/>
      <c r="AO60" s="113"/>
      <c r="AP60" s="113"/>
    </row>
    <row r="61" ht="18.0" customHeight="1">
      <c r="A61" s="144"/>
      <c r="B61" s="113"/>
      <c r="C61" s="113"/>
      <c r="D61" s="113"/>
      <c r="E61" s="113"/>
      <c r="F61" s="113"/>
      <c r="G61" s="113"/>
      <c r="H61" s="144"/>
      <c r="I61" s="113"/>
      <c r="J61" s="113"/>
      <c r="K61" s="114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4"/>
      <c r="AM61" s="113"/>
      <c r="AN61" s="113"/>
      <c r="AO61" s="113"/>
      <c r="AP61" s="113"/>
    </row>
    <row r="62" ht="18.0" customHeight="1">
      <c r="A62" s="144"/>
      <c r="B62" s="113"/>
      <c r="C62" s="113"/>
      <c r="D62" s="113"/>
      <c r="E62" s="113"/>
      <c r="F62" s="113"/>
      <c r="G62" s="113"/>
      <c r="H62" s="144"/>
      <c r="I62" s="113"/>
      <c r="J62" s="113"/>
      <c r="K62" s="114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4"/>
      <c r="AM62" s="113"/>
      <c r="AN62" s="113"/>
      <c r="AO62" s="113"/>
      <c r="AP62" s="113"/>
    </row>
    <row r="63" ht="18.0" customHeight="1">
      <c r="A63" s="144"/>
      <c r="B63" s="113"/>
      <c r="C63" s="113"/>
      <c r="D63" s="113"/>
      <c r="E63" s="113"/>
      <c r="F63" s="113"/>
      <c r="G63" s="113"/>
      <c r="H63" s="144"/>
      <c r="I63" s="113"/>
      <c r="J63" s="113"/>
      <c r="K63" s="114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4"/>
      <c r="AM63" s="113"/>
      <c r="AN63" s="113"/>
      <c r="AO63" s="113"/>
      <c r="AP63" s="113"/>
    </row>
    <row r="64" ht="18.0" customHeight="1">
      <c r="A64" s="144"/>
      <c r="B64" s="113"/>
      <c r="C64" s="113"/>
      <c r="D64" s="113"/>
      <c r="E64" s="113"/>
      <c r="F64" s="113"/>
      <c r="G64" s="113"/>
      <c r="H64" s="144"/>
      <c r="I64" s="113"/>
      <c r="J64" s="113"/>
      <c r="K64" s="114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4"/>
      <c r="AM64" s="113"/>
      <c r="AN64" s="113"/>
      <c r="AO64" s="113"/>
      <c r="AP64" s="113"/>
    </row>
    <row r="65" ht="18.0" customHeight="1">
      <c r="A65" s="144"/>
      <c r="B65" s="113"/>
      <c r="C65" s="113"/>
      <c r="D65" s="113"/>
      <c r="E65" s="113"/>
      <c r="F65" s="113"/>
      <c r="G65" s="113"/>
      <c r="H65" s="144"/>
      <c r="I65" s="113"/>
      <c r="J65" s="113"/>
      <c r="K65" s="114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4"/>
      <c r="AM65" s="113"/>
      <c r="AN65" s="113"/>
      <c r="AO65" s="113"/>
      <c r="AP65" s="113"/>
    </row>
    <row r="66" ht="18.0" customHeight="1">
      <c r="A66" s="144"/>
      <c r="B66" s="113"/>
      <c r="C66" s="113"/>
      <c r="D66" s="113"/>
      <c r="E66" s="113"/>
      <c r="F66" s="113"/>
      <c r="G66" s="113"/>
      <c r="H66" s="144"/>
      <c r="I66" s="113"/>
      <c r="J66" s="113"/>
      <c r="K66" s="114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4"/>
      <c r="AM66" s="113"/>
      <c r="AN66" s="113"/>
      <c r="AO66" s="113"/>
      <c r="AP66" s="113"/>
    </row>
    <row r="67" ht="18.0" customHeight="1">
      <c r="A67" s="144"/>
      <c r="B67" s="113"/>
      <c r="C67" s="113"/>
      <c r="D67" s="113"/>
      <c r="E67" s="113"/>
      <c r="F67" s="113"/>
      <c r="G67" s="113"/>
      <c r="H67" s="144"/>
      <c r="I67" s="113"/>
      <c r="J67" s="113"/>
      <c r="K67" s="114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4"/>
      <c r="AM67" s="113"/>
      <c r="AN67" s="113"/>
      <c r="AO67" s="113"/>
      <c r="AP67" s="113"/>
    </row>
    <row r="68" ht="18.0" customHeight="1">
      <c r="A68" s="144"/>
      <c r="B68" s="113"/>
      <c r="C68" s="113"/>
      <c r="D68" s="113"/>
      <c r="E68" s="113"/>
      <c r="F68" s="113"/>
      <c r="G68" s="113"/>
      <c r="H68" s="144"/>
      <c r="I68" s="113"/>
      <c r="J68" s="113"/>
      <c r="K68" s="114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4"/>
      <c r="AM68" s="113"/>
      <c r="AN68" s="113"/>
      <c r="AO68" s="113"/>
      <c r="AP68" s="113"/>
    </row>
    <row r="69" ht="18.0" customHeight="1">
      <c r="A69" s="144"/>
      <c r="B69" s="113"/>
      <c r="C69" s="113"/>
      <c r="D69" s="113"/>
      <c r="E69" s="113"/>
      <c r="F69" s="113"/>
      <c r="G69" s="113"/>
      <c r="H69" s="144"/>
      <c r="I69" s="113"/>
      <c r="J69" s="113"/>
      <c r="K69" s="114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4"/>
      <c r="AM69" s="113"/>
      <c r="AN69" s="113"/>
      <c r="AO69" s="113"/>
      <c r="AP69" s="113"/>
    </row>
    <row r="70" ht="18.0" customHeight="1">
      <c r="A70" s="144"/>
      <c r="B70" s="113"/>
      <c r="C70" s="113"/>
      <c r="D70" s="113"/>
      <c r="E70" s="113"/>
      <c r="F70" s="113"/>
      <c r="G70" s="113"/>
      <c r="H70" s="144"/>
      <c r="I70" s="113"/>
      <c r="J70" s="113"/>
      <c r="K70" s="114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4"/>
      <c r="AM70" s="113"/>
      <c r="AN70" s="113"/>
      <c r="AO70" s="113"/>
      <c r="AP70" s="113"/>
    </row>
    <row r="71" ht="18.0" customHeight="1">
      <c r="A71" s="144"/>
      <c r="B71" s="113"/>
      <c r="C71" s="113"/>
      <c r="D71" s="113"/>
      <c r="E71" s="113"/>
      <c r="F71" s="113"/>
      <c r="G71" s="113"/>
      <c r="H71" s="144"/>
      <c r="I71" s="113"/>
      <c r="J71" s="113"/>
      <c r="K71" s="114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4"/>
      <c r="AM71" s="113"/>
      <c r="AN71" s="113"/>
      <c r="AO71" s="113"/>
      <c r="AP71" s="113"/>
    </row>
    <row r="72" ht="18.0" customHeight="1">
      <c r="A72" s="144"/>
      <c r="B72" s="113"/>
      <c r="C72" s="113"/>
      <c r="D72" s="113"/>
      <c r="E72" s="113"/>
      <c r="F72" s="113"/>
      <c r="G72" s="113"/>
      <c r="H72" s="144"/>
      <c r="I72" s="113"/>
      <c r="J72" s="113"/>
      <c r="K72" s="114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4"/>
      <c r="AM72" s="113"/>
      <c r="AN72" s="113"/>
      <c r="AO72" s="113"/>
      <c r="AP72" s="113"/>
    </row>
    <row r="73" ht="18.0" customHeight="1">
      <c r="A73" s="144"/>
      <c r="B73" s="113"/>
      <c r="C73" s="113"/>
      <c r="D73" s="113"/>
      <c r="E73" s="113"/>
      <c r="F73" s="113"/>
      <c r="G73" s="113"/>
      <c r="H73" s="144"/>
      <c r="I73" s="113"/>
      <c r="J73" s="113"/>
      <c r="K73" s="114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4"/>
      <c r="AM73" s="113"/>
      <c r="AN73" s="113"/>
      <c r="AO73" s="113"/>
      <c r="AP73" s="113"/>
    </row>
    <row r="74" ht="18.0" customHeight="1">
      <c r="A74" s="144"/>
      <c r="B74" s="113"/>
      <c r="C74" s="113"/>
      <c r="D74" s="113"/>
      <c r="E74" s="113"/>
      <c r="F74" s="113"/>
      <c r="G74" s="113"/>
      <c r="H74" s="144"/>
      <c r="I74" s="113"/>
      <c r="J74" s="113"/>
      <c r="K74" s="114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4"/>
      <c r="AM74" s="113"/>
      <c r="AN74" s="113"/>
      <c r="AO74" s="113"/>
      <c r="AP74" s="113"/>
    </row>
    <row r="75" ht="18.0" customHeight="1">
      <c r="A75" s="144"/>
      <c r="B75" s="113"/>
      <c r="C75" s="113"/>
      <c r="D75" s="113"/>
      <c r="E75" s="113"/>
      <c r="F75" s="113"/>
      <c r="G75" s="113"/>
      <c r="H75" s="144"/>
      <c r="I75" s="113"/>
      <c r="J75" s="113"/>
      <c r="K75" s="114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4"/>
      <c r="AM75" s="113"/>
      <c r="AN75" s="113"/>
      <c r="AO75" s="113"/>
      <c r="AP75" s="113"/>
    </row>
    <row r="76" ht="18.0" customHeight="1">
      <c r="A76" s="144"/>
      <c r="B76" s="113"/>
      <c r="C76" s="113"/>
      <c r="D76" s="113"/>
      <c r="E76" s="113"/>
      <c r="F76" s="113"/>
      <c r="G76" s="113"/>
      <c r="H76" s="144"/>
      <c r="I76" s="113"/>
      <c r="J76" s="113"/>
      <c r="K76" s="114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4"/>
      <c r="AM76" s="113"/>
      <c r="AN76" s="113"/>
      <c r="AO76" s="113"/>
      <c r="AP76" s="113"/>
    </row>
    <row r="77" ht="18.0" customHeight="1">
      <c r="A77" s="144"/>
      <c r="B77" s="113"/>
      <c r="C77" s="113"/>
      <c r="D77" s="113"/>
      <c r="E77" s="113"/>
      <c r="F77" s="113"/>
      <c r="G77" s="113"/>
      <c r="H77" s="144"/>
      <c r="I77" s="113"/>
      <c r="J77" s="113"/>
      <c r="K77" s="114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4"/>
      <c r="AM77" s="113"/>
      <c r="AN77" s="113"/>
      <c r="AO77" s="113"/>
      <c r="AP77" s="113"/>
    </row>
    <row r="78" ht="18.0" customHeight="1">
      <c r="A78" s="144"/>
      <c r="B78" s="113"/>
      <c r="C78" s="113"/>
      <c r="D78" s="113"/>
      <c r="E78" s="113"/>
      <c r="F78" s="113"/>
      <c r="G78" s="113"/>
      <c r="H78" s="144"/>
      <c r="I78" s="113"/>
      <c r="J78" s="113"/>
      <c r="K78" s="114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4"/>
      <c r="AM78" s="113"/>
      <c r="AN78" s="113"/>
      <c r="AO78" s="113"/>
      <c r="AP78" s="113"/>
    </row>
    <row r="79" ht="18.0" customHeight="1">
      <c r="A79" s="144"/>
      <c r="B79" s="113"/>
      <c r="C79" s="113"/>
      <c r="D79" s="113"/>
      <c r="E79" s="113"/>
      <c r="F79" s="113"/>
      <c r="G79" s="113"/>
      <c r="H79" s="144"/>
      <c r="I79" s="113"/>
      <c r="J79" s="113"/>
      <c r="K79" s="114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4"/>
      <c r="AM79" s="113"/>
      <c r="AN79" s="113"/>
      <c r="AO79" s="113"/>
      <c r="AP79" s="113"/>
    </row>
    <row r="80" ht="18.0" customHeight="1">
      <c r="A80" s="144"/>
      <c r="B80" s="113"/>
      <c r="C80" s="113"/>
      <c r="D80" s="113"/>
      <c r="E80" s="113"/>
      <c r="F80" s="113"/>
      <c r="G80" s="113"/>
      <c r="H80" s="144"/>
      <c r="I80" s="113"/>
      <c r="J80" s="113"/>
      <c r="K80" s="114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4"/>
      <c r="AM80" s="113"/>
      <c r="AN80" s="113"/>
      <c r="AO80" s="113"/>
      <c r="AP80" s="113"/>
    </row>
    <row r="81" ht="18.0" customHeight="1">
      <c r="A81" s="144"/>
      <c r="B81" s="113"/>
      <c r="C81" s="113"/>
      <c r="D81" s="113"/>
      <c r="E81" s="113"/>
      <c r="F81" s="113"/>
      <c r="G81" s="113"/>
      <c r="H81" s="144"/>
      <c r="I81" s="113"/>
      <c r="J81" s="113"/>
      <c r="K81" s="114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4"/>
      <c r="AM81" s="113"/>
      <c r="AN81" s="113"/>
      <c r="AO81" s="113"/>
      <c r="AP81" s="113"/>
    </row>
    <row r="82" ht="18.0" customHeight="1">
      <c r="A82" s="144"/>
      <c r="B82" s="113"/>
      <c r="C82" s="113"/>
      <c r="D82" s="113"/>
      <c r="E82" s="113"/>
      <c r="F82" s="113"/>
      <c r="G82" s="113"/>
      <c r="H82" s="144"/>
      <c r="I82" s="113"/>
      <c r="J82" s="113"/>
      <c r="K82" s="114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4"/>
      <c r="AM82" s="113"/>
      <c r="AN82" s="113"/>
      <c r="AO82" s="113"/>
      <c r="AP82" s="113"/>
    </row>
    <row r="83" ht="18.0" customHeight="1">
      <c r="A83" s="144"/>
      <c r="B83" s="113"/>
      <c r="C83" s="113"/>
      <c r="D83" s="113"/>
      <c r="E83" s="113"/>
      <c r="F83" s="113"/>
      <c r="G83" s="113"/>
      <c r="H83" s="144"/>
      <c r="I83" s="113"/>
      <c r="J83" s="113"/>
      <c r="K83" s="114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4"/>
      <c r="AM83" s="113"/>
      <c r="AN83" s="113"/>
      <c r="AO83" s="113"/>
      <c r="AP83" s="113"/>
    </row>
    <row r="84" ht="18.0" customHeight="1">
      <c r="A84" s="144"/>
      <c r="B84" s="113"/>
      <c r="C84" s="113"/>
      <c r="D84" s="113"/>
      <c r="E84" s="113"/>
      <c r="F84" s="113"/>
      <c r="G84" s="113"/>
      <c r="H84" s="144"/>
      <c r="I84" s="113"/>
      <c r="J84" s="113"/>
      <c r="K84" s="114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4"/>
      <c r="AM84" s="113"/>
      <c r="AN84" s="113"/>
      <c r="AO84" s="113"/>
      <c r="AP84" s="113"/>
    </row>
    <row r="85" ht="18.0" customHeight="1">
      <c r="A85" s="144"/>
      <c r="B85" s="113"/>
      <c r="C85" s="113"/>
      <c r="D85" s="113"/>
      <c r="E85" s="113"/>
      <c r="F85" s="113"/>
      <c r="G85" s="113"/>
      <c r="H85" s="144"/>
      <c r="I85" s="113"/>
      <c r="J85" s="113"/>
      <c r="K85" s="114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4"/>
      <c r="AM85" s="113"/>
      <c r="AN85" s="113"/>
      <c r="AO85" s="113"/>
      <c r="AP85" s="113"/>
    </row>
    <row r="86" ht="18.0" customHeight="1">
      <c r="A86" s="144"/>
      <c r="B86" s="113"/>
      <c r="C86" s="113"/>
      <c r="D86" s="113"/>
      <c r="E86" s="113"/>
      <c r="F86" s="113"/>
      <c r="G86" s="113"/>
      <c r="H86" s="144"/>
      <c r="I86" s="113"/>
      <c r="J86" s="113"/>
      <c r="K86" s="114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4"/>
      <c r="AM86" s="113"/>
      <c r="AN86" s="113"/>
      <c r="AO86" s="113"/>
      <c r="AP86" s="113"/>
    </row>
    <row r="87" ht="18.0" customHeight="1">
      <c r="A87" s="144"/>
      <c r="B87" s="113"/>
      <c r="C87" s="113"/>
      <c r="D87" s="113"/>
      <c r="E87" s="113"/>
      <c r="F87" s="113"/>
      <c r="G87" s="113"/>
      <c r="H87" s="144"/>
      <c r="I87" s="113"/>
      <c r="J87" s="113"/>
      <c r="K87" s="114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4"/>
      <c r="AM87" s="113"/>
      <c r="AN87" s="113"/>
      <c r="AO87" s="113"/>
      <c r="AP87" s="113"/>
    </row>
    <row r="88" ht="18.0" customHeight="1">
      <c r="A88" s="144"/>
      <c r="B88" s="113"/>
      <c r="C88" s="113"/>
      <c r="D88" s="113"/>
      <c r="E88" s="113"/>
      <c r="F88" s="113"/>
      <c r="G88" s="113"/>
      <c r="H88" s="144"/>
      <c r="I88" s="113"/>
      <c r="J88" s="113"/>
      <c r="K88" s="114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4"/>
      <c r="AM88" s="113"/>
      <c r="AN88" s="113"/>
      <c r="AO88" s="113"/>
      <c r="AP88" s="113"/>
    </row>
    <row r="89" ht="18.0" customHeight="1">
      <c r="A89" s="144"/>
      <c r="B89" s="113"/>
      <c r="C89" s="113"/>
      <c r="D89" s="113"/>
      <c r="E89" s="113"/>
      <c r="F89" s="113"/>
      <c r="G89" s="113"/>
      <c r="H89" s="144"/>
      <c r="I89" s="113"/>
      <c r="J89" s="113"/>
      <c r="K89" s="114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4"/>
      <c r="AM89" s="113"/>
      <c r="AN89" s="113"/>
      <c r="AO89" s="113"/>
      <c r="AP89" s="145"/>
    </row>
    <row r="90" ht="18.0" customHeight="1">
      <c r="A90" s="144"/>
      <c r="B90" s="113"/>
      <c r="C90" s="113"/>
      <c r="D90" s="113"/>
      <c r="E90" s="113"/>
      <c r="F90" s="113"/>
      <c r="G90" s="113"/>
      <c r="H90" s="144"/>
      <c r="I90" s="113"/>
      <c r="J90" s="113"/>
      <c r="K90" s="114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4"/>
      <c r="AM90" s="113"/>
      <c r="AN90" s="113"/>
      <c r="AO90" s="113"/>
      <c r="AP90" s="113"/>
    </row>
    <row r="91" ht="18.0" customHeight="1">
      <c r="A91" s="144"/>
      <c r="B91" s="113"/>
      <c r="C91" s="113"/>
      <c r="D91" s="113"/>
      <c r="E91" s="113"/>
      <c r="F91" s="113"/>
      <c r="G91" s="113"/>
      <c r="H91" s="144"/>
      <c r="I91" s="113"/>
      <c r="J91" s="113"/>
      <c r="K91" s="114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4"/>
      <c r="AM91" s="113"/>
      <c r="AN91" s="113"/>
      <c r="AO91" s="113"/>
      <c r="AP91" s="113"/>
    </row>
    <row r="92" ht="18.0" customHeight="1">
      <c r="A92" s="144"/>
      <c r="B92" s="113"/>
      <c r="C92" s="113"/>
      <c r="D92" s="113"/>
      <c r="E92" s="113"/>
      <c r="F92" s="113"/>
      <c r="G92" s="113"/>
      <c r="H92" s="144"/>
      <c r="I92" s="113"/>
      <c r="J92" s="113"/>
      <c r="K92" s="114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4"/>
      <c r="AM92" s="113"/>
      <c r="AN92" s="113"/>
      <c r="AO92" s="113"/>
      <c r="AP92" s="113"/>
    </row>
    <row r="93" ht="18.0" customHeight="1">
      <c r="A93" s="144"/>
      <c r="B93" s="113"/>
      <c r="C93" s="113"/>
      <c r="D93" s="113"/>
      <c r="E93" s="113"/>
      <c r="F93" s="113"/>
      <c r="G93" s="113"/>
      <c r="H93" s="144"/>
      <c r="I93" s="113"/>
      <c r="J93" s="113"/>
      <c r="K93" s="114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4"/>
      <c r="AM93" s="113"/>
      <c r="AN93" s="113"/>
      <c r="AO93" s="113"/>
      <c r="AP93" s="145"/>
    </row>
    <row r="94" ht="18.0" customHeight="1">
      <c r="A94" s="144"/>
      <c r="B94" s="113"/>
      <c r="C94" s="113"/>
      <c r="D94" s="113"/>
      <c r="E94" s="113"/>
      <c r="F94" s="113"/>
      <c r="G94" s="113"/>
      <c r="H94" s="144"/>
      <c r="I94" s="113"/>
      <c r="J94" s="113"/>
      <c r="K94" s="114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4"/>
      <c r="AM94" s="113"/>
      <c r="AN94" s="113"/>
      <c r="AO94" s="113"/>
      <c r="AP94" s="113"/>
    </row>
    <row r="95" ht="18.0" customHeight="1">
      <c r="A95" s="144"/>
      <c r="B95" s="113"/>
      <c r="C95" s="113"/>
      <c r="D95" s="113"/>
      <c r="E95" s="113"/>
      <c r="F95" s="113"/>
      <c r="G95" s="113"/>
      <c r="H95" s="144"/>
      <c r="I95" s="113"/>
      <c r="J95" s="113"/>
      <c r="K95" s="114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4"/>
      <c r="AM95" s="113"/>
      <c r="AN95" s="113"/>
      <c r="AO95" s="113"/>
      <c r="AP95" s="113"/>
    </row>
    <row r="96" ht="18.0" customHeight="1">
      <c r="A96" s="144"/>
      <c r="B96" s="113"/>
      <c r="C96" s="113"/>
      <c r="D96" s="113"/>
      <c r="E96" s="113"/>
      <c r="F96" s="113"/>
      <c r="G96" s="113"/>
      <c r="H96" s="144"/>
      <c r="I96" s="113"/>
      <c r="J96" s="113"/>
      <c r="K96" s="114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4"/>
      <c r="AM96" s="113"/>
      <c r="AN96" s="113"/>
      <c r="AO96" s="113"/>
      <c r="AP96" s="113"/>
    </row>
    <row r="97" ht="18.0" customHeight="1">
      <c r="A97" s="144"/>
      <c r="B97" s="113"/>
      <c r="C97" s="113"/>
      <c r="D97" s="113"/>
      <c r="E97" s="113"/>
      <c r="F97" s="113"/>
      <c r="G97" s="113"/>
      <c r="H97" s="144"/>
      <c r="I97" s="113"/>
      <c r="J97" s="113"/>
      <c r="K97" s="114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4"/>
      <c r="AM97" s="113"/>
      <c r="AN97" s="113"/>
      <c r="AO97" s="113"/>
      <c r="AP97" s="113"/>
    </row>
    <row r="98" ht="18.0" customHeight="1">
      <c r="A98" s="144"/>
      <c r="B98" s="113"/>
      <c r="C98" s="113"/>
      <c r="D98" s="113"/>
      <c r="E98" s="113"/>
      <c r="F98" s="113"/>
      <c r="G98" s="113"/>
      <c r="H98" s="144"/>
      <c r="I98" s="113"/>
      <c r="J98" s="113"/>
      <c r="K98" s="114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4"/>
      <c r="AM98" s="113"/>
      <c r="AN98" s="113"/>
      <c r="AO98" s="113"/>
      <c r="AP98" s="113"/>
    </row>
    <row r="99" ht="18.0" customHeight="1">
      <c r="A99" s="113"/>
      <c r="B99" s="113"/>
      <c r="C99" s="113"/>
      <c r="D99" s="113"/>
      <c r="E99" s="113"/>
      <c r="F99" s="113"/>
      <c r="G99" s="113"/>
      <c r="H99" s="144"/>
      <c r="I99" s="113"/>
      <c r="J99" s="113"/>
      <c r="K99" s="114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4"/>
      <c r="AM99" s="113"/>
      <c r="AN99" s="113"/>
      <c r="AO99" s="113"/>
      <c r="AP99" s="113"/>
    </row>
    <row r="100" ht="18.0" customHeight="1">
      <c r="A100" s="113"/>
      <c r="B100" s="113"/>
      <c r="C100" s="113"/>
      <c r="D100" s="113"/>
      <c r="E100" s="113"/>
      <c r="F100" s="113"/>
      <c r="G100" s="113"/>
      <c r="H100" s="144"/>
      <c r="I100" s="113"/>
      <c r="J100" s="113"/>
      <c r="K100" s="114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4"/>
      <c r="AM100" s="113"/>
      <c r="AN100" s="113"/>
      <c r="AO100" s="113"/>
      <c r="AP100" s="113"/>
    </row>
    <row r="101" ht="18.0" customHeight="1">
      <c r="A101" s="113"/>
      <c r="B101" s="113"/>
      <c r="C101" s="113"/>
      <c r="D101" s="113"/>
      <c r="E101" s="113"/>
      <c r="F101" s="113"/>
      <c r="G101" s="113"/>
      <c r="H101" s="144"/>
      <c r="I101" s="113"/>
      <c r="J101" s="113"/>
      <c r="K101" s="114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4"/>
      <c r="AM101" s="113"/>
      <c r="AN101" s="113"/>
      <c r="AO101" s="113"/>
      <c r="AP101" s="113"/>
    </row>
    <row r="102" ht="18.0" customHeight="1">
      <c r="A102" s="113"/>
      <c r="B102" s="113"/>
      <c r="C102" s="113"/>
      <c r="D102" s="113"/>
      <c r="E102" s="113"/>
      <c r="F102" s="113"/>
      <c r="G102" s="113"/>
      <c r="H102" s="144"/>
      <c r="I102" s="113"/>
      <c r="J102" s="113"/>
      <c r="K102" s="114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4"/>
      <c r="AM102" s="113"/>
      <c r="AN102" s="113"/>
      <c r="AO102" s="113"/>
      <c r="AP102" s="113"/>
    </row>
    <row r="103" ht="18.0" customHeight="1">
      <c r="A103" s="113"/>
      <c r="B103" s="113"/>
      <c r="C103" s="113"/>
      <c r="D103" s="113"/>
      <c r="E103" s="113"/>
      <c r="F103" s="113"/>
      <c r="G103" s="113"/>
      <c r="H103" s="144"/>
      <c r="I103" s="113"/>
      <c r="J103" s="113"/>
      <c r="K103" s="114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4"/>
      <c r="AM103" s="113"/>
      <c r="AN103" s="113"/>
      <c r="AO103" s="113"/>
      <c r="AP103" s="113"/>
    </row>
    <row r="104" ht="18.0" customHeight="1">
      <c r="A104" s="113"/>
      <c r="B104" s="113"/>
      <c r="C104" s="113"/>
      <c r="D104" s="113"/>
      <c r="E104" s="113"/>
      <c r="F104" s="113"/>
      <c r="G104" s="113"/>
      <c r="H104" s="144"/>
      <c r="I104" s="113"/>
      <c r="J104" s="113"/>
      <c r="K104" s="114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4"/>
      <c r="AM104" s="113"/>
      <c r="AN104" s="113"/>
      <c r="AO104" s="113"/>
      <c r="AP104" s="113"/>
    </row>
    <row r="105" ht="18.0" customHeight="1">
      <c r="A105" s="113"/>
      <c r="B105" s="113"/>
      <c r="C105" s="113"/>
      <c r="D105" s="113"/>
      <c r="E105" s="113"/>
      <c r="F105" s="113"/>
      <c r="G105" s="113"/>
      <c r="H105" s="144"/>
      <c r="I105" s="113"/>
      <c r="J105" s="113"/>
      <c r="K105" s="114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4"/>
      <c r="AM105" s="113"/>
      <c r="AN105" s="113"/>
      <c r="AO105" s="113"/>
      <c r="AP105" s="113"/>
    </row>
    <row r="106" ht="18.0" customHeight="1">
      <c r="A106" s="113"/>
      <c r="B106" s="113"/>
      <c r="C106" s="113"/>
      <c r="D106" s="113"/>
      <c r="E106" s="113"/>
      <c r="F106" s="113"/>
      <c r="G106" s="113"/>
      <c r="H106" s="144"/>
      <c r="I106" s="113"/>
      <c r="J106" s="113"/>
      <c r="K106" s="114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4"/>
      <c r="AM106" s="113"/>
      <c r="AN106" s="113"/>
      <c r="AO106" s="113"/>
      <c r="AP106" s="113"/>
    </row>
    <row r="107" ht="18.0" customHeight="1">
      <c r="A107" s="113"/>
      <c r="B107" s="113"/>
      <c r="C107" s="113"/>
      <c r="D107" s="113"/>
      <c r="E107" s="113"/>
      <c r="F107" s="113"/>
      <c r="G107" s="113"/>
      <c r="H107" s="144"/>
      <c r="I107" s="113"/>
      <c r="J107" s="113"/>
      <c r="K107" s="114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4"/>
    </row>
    <row r="108" ht="18.0" customHeight="1">
      <c r="A108" s="113"/>
      <c r="B108" s="113"/>
      <c r="C108" s="113"/>
      <c r="D108" s="113"/>
      <c r="E108" s="113"/>
      <c r="F108" s="113"/>
      <c r="G108" s="113"/>
      <c r="H108" s="144"/>
      <c r="I108" s="113"/>
      <c r="J108" s="113"/>
      <c r="K108" s="114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4"/>
    </row>
    <row r="109" ht="18.0" customHeight="1">
      <c r="A109" s="113"/>
      <c r="B109" s="113"/>
      <c r="C109" s="113"/>
      <c r="D109" s="113"/>
      <c r="E109" s="113"/>
      <c r="F109" s="113"/>
      <c r="G109" s="113"/>
      <c r="H109" s="144"/>
      <c r="I109" s="113"/>
      <c r="J109" s="113"/>
      <c r="K109" s="114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4"/>
    </row>
    <row r="110" ht="18.0" customHeight="1">
      <c r="A110" s="113"/>
      <c r="B110" s="113"/>
      <c r="C110" s="113"/>
      <c r="D110" s="113"/>
      <c r="E110" s="113"/>
      <c r="F110" s="113"/>
      <c r="G110" s="113"/>
      <c r="H110" s="144"/>
      <c r="I110" s="113"/>
      <c r="J110" s="113"/>
      <c r="K110" s="114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4"/>
    </row>
    <row r="111" ht="18.0" customHeight="1">
      <c r="A111" s="113"/>
      <c r="B111" s="113"/>
      <c r="C111" s="113"/>
      <c r="D111" s="113"/>
      <c r="E111" s="113"/>
      <c r="F111" s="113"/>
      <c r="G111" s="113"/>
      <c r="H111" s="144"/>
      <c r="I111" s="113"/>
      <c r="J111" s="113"/>
      <c r="K111" s="114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4"/>
    </row>
    <row r="112" ht="18.0" customHeight="1">
      <c r="A112" s="113"/>
      <c r="B112" s="113"/>
      <c r="C112" s="113"/>
      <c r="D112" s="113"/>
      <c r="E112" s="113"/>
      <c r="F112" s="113"/>
      <c r="G112" s="113"/>
      <c r="H112" s="144"/>
      <c r="I112" s="113"/>
      <c r="J112" s="113"/>
      <c r="K112" s="114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4"/>
    </row>
    <row r="113" ht="18.0" customHeight="1">
      <c r="A113" s="113"/>
      <c r="B113" s="113"/>
      <c r="C113" s="113"/>
      <c r="D113" s="113"/>
      <c r="E113" s="113"/>
      <c r="F113" s="113"/>
      <c r="G113" s="113"/>
      <c r="H113" s="144"/>
      <c r="I113" s="113"/>
      <c r="J113" s="113"/>
      <c r="K113" s="114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4"/>
    </row>
    <row r="114" ht="18.0" customHeight="1">
      <c r="A114" s="113"/>
      <c r="B114" s="113"/>
      <c r="C114" s="113"/>
      <c r="D114" s="113"/>
      <c r="E114" s="113"/>
      <c r="F114" s="113"/>
      <c r="G114" s="113"/>
      <c r="H114" s="144"/>
      <c r="I114" s="113"/>
      <c r="J114" s="113"/>
      <c r="K114" s="114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4"/>
    </row>
    <row r="115" ht="18.0" customHeight="1">
      <c r="A115" s="113"/>
      <c r="B115" s="113"/>
      <c r="C115" s="113"/>
      <c r="D115" s="113"/>
      <c r="E115" s="113"/>
      <c r="F115" s="113"/>
      <c r="G115" s="113"/>
      <c r="H115" s="144"/>
      <c r="I115" s="113"/>
      <c r="J115" s="113"/>
      <c r="K115" s="114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4"/>
    </row>
    <row r="116" ht="18.0" customHeight="1">
      <c r="A116" s="113"/>
      <c r="B116" s="113"/>
      <c r="C116" s="113"/>
      <c r="D116" s="113"/>
      <c r="E116" s="113"/>
      <c r="F116" s="113"/>
      <c r="G116" s="113"/>
      <c r="H116" s="144"/>
      <c r="I116" s="113"/>
      <c r="J116" s="113"/>
      <c r="K116" s="114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4"/>
    </row>
    <row r="117" ht="18.0" customHeight="1">
      <c r="A117" s="113"/>
      <c r="B117" s="113"/>
      <c r="C117" s="113"/>
      <c r="D117" s="113"/>
      <c r="E117" s="113"/>
      <c r="F117" s="113"/>
      <c r="G117" s="113"/>
      <c r="H117" s="144"/>
      <c r="I117" s="113"/>
      <c r="J117" s="113"/>
      <c r="K117" s="114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4"/>
    </row>
    <row r="118" ht="18.0" customHeight="1">
      <c r="A118" s="113"/>
      <c r="B118" s="113"/>
      <c r="C118" s="113"/>
      <c r="D118" s="113"/>
      <c r="E118" s="113"/>
      <c r="F118" s="113"/>
      <c r="G118" s="113"/>
      <c r="H118" s="144"/>
      <c r="I118" s="113"/>
      <c r="J118" s="113"/>
      <c r="K118" s="114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4"/>
    </row>
    <row r="119" ht="18.0" customHeight="1">
      <c r="A119" s="113"/>
      <c r="B119" s="113"/>
      <c r="C119" s="113"/>
      <c r="D119" s="113"/>
      <c r="E119" s="113"/>
      <c r="F119" s="113"/>
      <c r="G119" s="113"/>
      <c r="H119" s="144"/>
      <c r="I119" s="113"/>
      <c r="J119" s="113"/>
      <c r="K119" s="114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4"/>
    </row>
    <row r="120" ht="18.0" customHeight="1">
      <c r="A120" s="113"/>
      <c r="B120" s="113"/>
      <c r="C120" s="113"/>
      <c r="D120" s="113"/>
      <c r="E120" s="113"/>
      <c r="F120" s="113"/>
      <c r="G120" s="113"/>
      <c r="H120" s="144"/>
      <c r="I120" s="113"/>
      <c r="J120" s="113"/>
      <c r="K120" s="114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4"/>
    </row>
    <row r="121" ht="18.0" customHeight="1">
      <c r="A121" s="113"/>
      <c r="B121" s="113"/>
      <c r="C121" s="113"/>
      <c r="D121" s="113"/>
      <c r="E121" s="113"/>
      <c r="F121" s="113"/>
      <c r="G121" s="113"/>
      <c r="H121" s="144"/>
      <c r="I121" s="113"/>
      <c r="J121" s="113"/>
      <c r="K121" s="114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4"/>
    </row>
    <row r="122" ht="18.0" customHeight="1">
      <c r="A122" s="113"/>
      <c r="B122" s="113"/>
      <c r="C122" s="113"/>
      <c r="D122" s="113"/>
      <c r="E122" s="113"/>
      <c r="F122" s="113"/>
      <c r="G122" s="113"/>
      <c r="H122" s="144"/>
      <c r="I122" s="113"/>
      <c r="J122" s="113"/>
      <c r="K122" s="114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4"/>
    </row>
    <row r="123" ht="18.0" customHeight="1">
      <c r="A123" s="113"/>
      <c r="B123" s="113"/>
      <c r="C123" s="113"/>
      <c r="D123" s="113"/>
      <c r="E123" s="113"/>
      <c r="F123" s="113"/>
      <c r="G123" s="113"/>
      <c r="H123" s="144"/>
      <c r="I123" s="113"/>
      <c r="J123" s="113"/>
      <c r="K123" s="114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4"/>
    </row>
    <row r="124" ht="18.0" customHeight="1">
      <c r="A124" s="113"/>
      <c r="B124" s="113"/>
      <c r="C124" s="113"/>
      <c r="D124" s="113"/>
      <c r="E124" s="113"/>
      <c r="F124" s="113"/>
      <c r="G124" s="113"/>
      <c r="H124" s="144"/>
      <c r="I124" s="113"/>
      <c r="J124" s="113"/>
      <c r="K124" s="114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4"/>
    </row>
    <row r="125" ht="18.0" customHeight="1">
      <c r="A125" s="113"/>
      <c r="B125" s="113"/>
      <c r="C125" s="113"/>
      <c r="D125" s="113"/>
      <c r="E125" s="113"/>
      <c r="F125" s="113"/>
      <c r="G125" s="113"/>
      <c r="H125" s="144"/>
      <c r="I125" s="113"/>
      <c r="J125" s="113"/>
      <c r="K125" s="114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4"/>
    </row>
    <row r="126" ht="18.0" customHeight="1">
      <c r="A126" s="113"/>
      <c r="B126" s="113"/>
      <c r="C126" s="113"/>
      <c r="D126" s="113"/>
      <c r="E126" s="113"/>
      <c r="F126" s="113"/>
      <c r="G126" s="113"/>
      <c r="H126" s="144"/>
      <c r="I126" s="113"/>
      <c r="J126" s="113"/>
      <c r="K126" s="114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4"/>
    </row>
    <row r="127" ht="18.0" customHeight="1">
      <c r="A127" s="113"/>
      <c r="B127" s="113"/>
      <c r="C127" s="113"/>
      <c r="D127" s="113"/>
      <c r="E127" s="113"/>
      <c r="F127" s="113"/>
      <c r="G127" s="113"/>
      <c r="H127" s="144"/>
      <c r="I127" s="113"/>
      <c r="J127" s="113"/>
      <c r="K127" s="114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4"/>
    </row>
    <row r="128" ht="18.0" customHeight="1">
      <c r="A128" s="113"/>
      <c r="B128" s="113"/>
      <c r="C128" s="113"/>
      <c r="D128" s="113"/>
      <c r="E128" s="113"/>
      <c r="F128" s="113"/>
      <c r="G128" s="113"/>
      <c r="H128" s="144"/>
      <c r="I128" s="113"/>
      <c r="J128" s="113"/>
      <c r="K128" s="114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4"/>
    </row>
    <row r="129" ht="18.0" customHeight="1">
      <c r="A129" s="113"/>
      <c r="B129" s="113"/>
      <c r="C129" s="113"/>
      <c r="D129" s="113"/>
      <c r="E129" s="113"/>
      <c r="F129" s="113"/>
      <c r="G129" s="113"/>
      <c r="H129" s="144"/>
      <c r="I129" s="113"/>
      <c r="J129" s="113"/>
      <c r="K129" s="114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4"/>
    </row>
    <row r="130" ht="18.0" customHeight="1">
      <c r="A130" s="113"/>
      <c r="B130" s="113"/>
      <c r="C130" s="113"/>
      <c r="D130" s="113"/>
      <c r="E130" s="113"/>
      <c r="F130" s="113"/>
      <c r="G130" s="113"/>
      <c r="H130" s="144"/>
      <c r="I130" s="113"/>
      <c r="J130" s="113"/>
      <c r="K130" s="114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4"/>
    </row>
    <row r="131" ht="18.0" customHeight="1">
      <c r="A131" s="113"/>
      <c r="B131" s="113"/>
      <c r="C131" s="113"/>
      <c r="D131" s="113"/>
      <c r="E131" s="113"/>
      <c r="F131" s="113"/>
      <c r="G131" s="113"/>
      <c r="H131" s="144"/>
      <c r="I131" s="113"/>
      <c r="J131" s="113"/>
      <c r="K131" s="114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4"/>
    </row>
    <row r="132" ht="18.0" customHeight="1">
      <c r="A132" s="113"/>
      <c r="B132" s="113"/>
      <c r="C132" s="113"/>
      <c r="D132" s="113"/>
      <c r="E132" s="113"/>
      <c r="F132" s="113"/>
      <c r="G132" s="113"/>
      <c r="H132" s="144"/>
      <c r="I132" s="113"/>
      <c r="J132" s="113"/>
      <c r="K132" s="114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4"/>
    </row>
    <row r="133" ht="18.0" customHeight="1">
      <c r="A133" s="113"/>
      <c r="B133" s="113"/>
      <c r="C133" s="113"/>
      <c r="D133" s="113"/>
      <c r="E133" s="113"/>
      <c r="F133" s="113"/>
      <c r="G133" s="113"/>
      <c r="H133" s="144"/>
      <c r="I133" s="113"/>
      <c r="J133" s="113"/>
      <c r="K133" s="114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4"/>
    </row>
    <row r="134" ht="18.0" customHeight="1">
      <c r="A134" s="113"/>
      <c r="B134" s="113"/>
      <c r="C134" s="113"/>
      <c r="D134" s="113"/>
      <c r="E134" s="113"/>
      <c r="F134" s="113"/>
      <c r="G134" s="113"/>
      <c r="H134" s="144"/>
      <c r="I134" s="113"/>
      <c r="J134" s="113"/>
      <c r="K134" s="114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4"/>
    </row>
    <row r="135" ht="18.0" customHeight="1">
      <c r="A135" s="113"/>
      <c r="B135" s="113"/>
      <c r="C135" s="113"/>
      <c r="D135" s="113"/>
      <c r="E135" s="113"/>
      <c r="F135" s="113"/>
      <c r="G135" s="113"/>
      <c r="H135" s="144"/>
      <c r="I135" s="113"/>
      <c r="J135" s="113"/>
      <c r="K135" s="114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4"/>
    </row>
    <row r="136" ht="18.0" customHeight="1">
      <c r="A136" s="113"/>
      <c r="B136" s="113"/>
      <c r="C136" s="113"/>
      <c r="D136" s="113"/>
      <c r="E136" s="113"/>
      <c r="F136" s="113"/>
      <c r="G136" s="113"/>
      <c r="H136" s="144"/>
      <c r="I136" s="113"/>
      <c r="J136" s="113"/>
      <c r="K136" s="114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4"/>
    </row>
    <row r="137" ht="18.0" customHeight="1">
      <c r="A137" s="113"/>
      <c r="B137" s="113"/>
      <c r="C137" s="113"/>
      <c r="D137" s="113"/>
      <c r="E137" s="113"/>
      <c r="F137" s="113"/>
      <c r="G137" s="113"/>
      <c r="H137" s="144"/>
      <c r="I137" s="113"/>
      <c r="J137" s="113"/>
      <c r="K137" s="114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4"/>
    </row>
    <row r="138" ht="18.0" customHeight="1">
      <c r="A138" s="113"/>
      <c r="B138" s="113"/>
      <c r="C138" s="113"/>
      <c r="D138" s="113"/>
      <c r="E138" s="113"/>
      <c r="F138" s="113"/>
      <c r="G138" s="113"/>
      <c r="H138" s="144"/>
      <c r="I138" s="113"/>
      <c r="J138" s="113"/>
      <c r="K138" s="114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4"/>
    </row>
    <row r="139" ht="18.0" customHeight="1">
      <c r="A139" s="113"/>
      <c r="B139" s="113"/>
      <c r="C139" s="113"/>
      <c r="D139" s="113"/>
      <c r="E139" s="113"/>
      <c r="F139" s="113"/>
      <c r="G139" s="113"/>
      <c r="H139" s="144"/>
      <c r="I139" s="113"/>
      <c r="J139" s="113"/>
      <c r="K139" s="114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4"/>
    </row>
    <row r="140" ht="18.0" customHeight="1">
      <c r="A140" s="113"/>
      <c r="B140" s="113"/>
      <c r="C140" s="113"/>
      <c r="D140" s="113"/>
      <c r="E140" s="113"/>
      <c r="F140" s="113"/>
      <c r="G140" s="113"/>
      <c r="H140" s="144"/>
      <c r="I140" s="113"/>
      <c r="J140" s="113"/>
      <c r="K140" s="114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4"/>
    </row>
    <row r="141" ht="18.0" customHeight="1">
      <c r="A141" s="113"/>
      <c r="B141" s="113"/>
      <c r="C141" s="113"/>
      <c r="D141" s="113"/>
      <c r="E141" s="113"/>
      <c r="F141" s="113"/>
      <c r="G141" s="113"/>
      <c r="H141" s="144"/>
      <c r="I141" s="113"/>
      <c r="J141" s="113"/>
      <c r="K141" s="114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4"/>
    </row>
    <row r="142" ht="18.0" customHeight="1">
      <c r="A142" s="113"/>
      <c r="B142" s="113"/>
      <c r="C142" s="113"/>
      <c r="D142" s="113"/>
      <c r="E142" s="113"/>
      <c r="F142" s="113"/>
      <c r="G142" s="113"/>
      <c r="H142" s="144"/>
      <c r="I142" s="113"/>
      <c r="J142" s="113"/>
      <c r="K142" s="114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4"/>
    </row>
    <row r="143" ht="18.0" customHeight="1">
      <c r="A143" s="113"/>
      <c r="B143" s="113"/>
      <c r="C143" s="113"/>
      <c r="D143" s="113"/>
      <c r="E143" s="113"/>
      <c r="F143" s="113"/>
      <c r="G143" s="113"/>
      <c r="H143" s="144"/>
      <c r="I143" s="113"/>
      <c r="J143" s="113"/>
      <c r="K143" s="114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4"/>
    </row>
    <row r="144" ht="18.0" customHeight="1">
      <c r="A144" s="113"/>
      <c r="B144" s="113"/>
      <c r="C144" s="113"/>
      <c r="D144" s="113"/>
      <c r="E144" s="113"/>
      <c r="F144" s="113"/>
      <c r="G144" s="113"/>
      <c r="H144" s="144"/>
      <c r="I144" s="113"/>
      <c r="J144" s="113"/>
      <c r="K144" s="114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4"/>
    </row>
    <row r="145" ht="18.0" customHeight="1">
      <c r="A145" s="113"/>
      <c r="B145" s="113"/>
      <c r="C145" s="113"/>
      <c r="D145" s="113"/>
      <c r="E145" s="113"/>
      <c r="F145" s="113"/>
      <c r="G145" s="113"/>
      <c r="H145" s="144"/>
      <c r="I145" s="113"/>
      <c r="J145" s="113"/>
      <c r="K145" s="114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4"/>
    </row>
    <row r="146" ht="18.0" customHeight="1">
      <c r="A146" s="113"/>
      <c r="B146" s="113"/>
      <c r="C146" s="113"/>
      <c r="D146" s="113"/>
      <c r="E146" s="113"/>
      <c r="F146" s="113"/>
      <c r="G146" s="113"/>
      <c r="H146" s="144"/>
      <c r="I146" s="113"/>
      <c r="J146" s="113"/>
      <c r="K146" s="114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4"/>
    </row>
    <row r="147" ht="18.0" customHeight="1">
      <c r="A147" s="113"/>
      <c r="B147" s="113"/>
      <c r="C147" s="113"/>
      <c r="D147" s="113"/>
      <c r="E147" s="113"/>
      <c r="F147" s="113"/>
      <c r="G147" s="113"/>
      <c r="H147" s="144"/>
      <c r="I147" s="113"/>
      <c r="J147" s="113"/>
      <c r="K147" s="114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4"/>
    </row>
    <row r="148" ht="18.0" customHeight="1">
      <c r="A148" s="113"/>
      <c r="B148" s="113"/>
      <c r="C148" s="113"/>
      <c r="D148" s="113"/>
      <c r="E148" s="113"/>
      <c r="F148" s="113"/>
      <c r="G148" s="113"/>
      <c r="H148" s="144"/>
      <c r="I148" s="113"/>
      <c r="J148" s="113"/>
      <c r="K148" s="114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4"/>
    </row>
    <row r="149" ht="18.0" customHeight="1">
      <c r="A149" s="113"/>
      <c r="B149" s="113"/>
      <c r="C149" s="113"/>
      <c r="D149" s="113"/>
      <c r="E149" s="113"/>
      <c r="F149" s="113"/>
      <c r="G149" s="113"/>
      <c r="H149" s="144"/>
      <c r="I149" s="113"/>
      <c r="J149" s="113"/>
      <c r="K149" s="114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4"/>
    </row>
    <row r="150" ht="18.0" customHeight="1">
      <c r="A150" s="113"/>
      <c r="B150" s="113"/>
      <c r="C150" s="113"/>
      <c r="D150" s="113"/>
      <c r="E150" s="113"/>
      <c r="F150" s="113"/>
      <c r="G150" s="113"/>
      <c r="H150" s="144"/>
      <c r="I150" s="113"/>
      <c r="J150" s="113"/>
      <c r="K150" s="114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4"/>
    </row>
    <row r="151" ht="18.0" customHeight="1">
      <c r="A151" s="113"/>
      <c r="B151" s="113"/>
      <c r="C151" s="113"/>
      <c r="D151" s="113"/>
      <c r="E151" s="113"/>
      <c r="F151" s="113"/>
      <c r="G151" s="113"/>
      <c r="H151" s="144"/>
      <c r="I151" s="113"/>
      <c r="J151" s="113"/>
      <c r="K151" s="114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4"/>
    </row>
    <row r="152" ht="18.0" customHeight="1">
      <c r="A152" s="113"/>
      <c r="B152" s="113"/>
      <c r="C152" s="113"/>
      <c r="D152" s="113"/>
      <c r="E152" s="113"/>
      <c r="F152" s="113"/>
      <c r="G152" s="113"/>
      <c r="H152" s="144"/>
      <c r="I152" s="113"/>
      <c r="J152" s="113"/>
      <c r="K152" s="114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4"/>
    </row>
    <row r="153" ht="18.0" customHeight="1">
      <c r="A153" s="113"/>
      <c r="B153" s="113"/>
      <c r="C153" s="113"/>
      <c r="D153" s="113"/>
      <c r="E153" s="113"/>
      <c r="F153" s="113"/>
      <c r="G153" s="113"/>
      <c r="H153" s="144"/>
      <c r="I153" s="113"/>
      <c r="J153" s="113"/>
      <c r="K153" s="114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4"/>
    </row>
    <row r="154" ht="18.0" customHeight="1">
      <c r="A154" s="113"/>
      <c r="B154" s="113"/>
      <c r="C154" s="113"/>
      <c r="D154" s="113"/>
      <c r="E154" s="113"/>
      <c r="F154" s="113"/>
      <c r="G154" s="113"/>
      <c r="H154" s="144"/>
      <c r="I154" s="113"/>
      <c r="J154" s="113"/>
      <c r="K154" s="114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4"/>
    </row>
    <row r="155" ht="18.0" customHeight="1">
      <c r="A155" s="113"/>
      <c r="B155" s="113"/>
      <c r="C155" s="113"/>
      <c r="D155" s="113"/>
      <c r="E155" s="113"/>
      <c r="F155" s="113"/>
      <c r="G155" s="113"/>
      <c r="H155" s="144"/>
      <c r="I155" s="113"/>
      <c r="J155" s="113"/>
      <c r="K155" s="114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4"/>
    </row>
    <row r="156" ht="18.0" customHeight="1">
      <c r="A156" s="113"/>
      <c r="B156" s="113"/>
      <c r="C156" s="113"/>
      <c r="D156" s="113"/>
      <c r="E156" s="113"/>
      <c r="F156" s="113"/>
      <c r="G156" s="113"/>
      <c r="H156" s="144"/>
      <c r="I156" s="113"/>
      <c r="J156" s="113"/>
      <c r="K156" s="114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4"/>
    </row>
    <row r="157" ht="18.0" customHeight="1">
      <c r="A157" s="113"/>
      <c r="B157" s="113"/>
      <c r="C157" s="113"/>
      <c r="D157" s="113"/>
      <c r="E157" s="113"/>
      <c r="F157" s="113"/>
      <c r="G157" s="113"/>
      <c r="H157" s="144"/>
      <c r="I157" s="113"/>
      <c r="J157" s="113"/>
      <c r="K157" s="114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4"/>
    </row>
    <row r="158" ht="18.0" customHeight="1">
      <c r="A158" s="113"/>
      <c r="B158" s="113"/>
      <c r="C158" s="113"/>
      <c r="D158" s="113"/>
      <c r="E158" s="113"/>
      <c r="F158" s="113"/>
      <c r="G158" s="113"/>
      <c r="H158" s="144"/>
      <c r="I158" s="113"/>
      <c r="J158" s="113"/>
      <c r="K158" s="114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4"/>
    </row>
    <row r="159" ht="18.0" customHeight="1">
      <c r="A159" s="113"/>
      <c r="B159" s="113"/>
      <c r="C159" s="113"/>
      <c r="D159" s="113"/>
      <c r="E159" s="113"/>
      <c r="F159" s="113"/>
      <c r="G159" s="113"/>
      <c r="H159" s="144"/>
      <c r="I159" s="113"/>
      <c r="J159" s="113"/>
      <c r="K159" s="114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4"/>
    </row>
    <row r="160" ht="18.0" customHeight="1">
      <c r="A160" s="113"/>
      <c r="B160" s="113"/>
      <c r="C160" s="113"/>
      <c r="D160" s="113"/>
      <c r="E160" s="113"/>
      <c r="F160" s="113"/>
      <c r="G160" s="113"/>
      <c r="H160" s="144"/>
      <c r="I160" s="113"/>
      <c r="J160" s="113"/>
      <c r="K160" s="114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4"/>
    </row>
    <row r="161" ht="18.0" customHeight="1">
      <c r="A161" s="113"/>
      <c r="B161" s="113"/>
      <c r="C161" s="113"/>
      <c r="D161" s="113"/>
      <c r="E161" s="113"/>
      <c r="F161" s="113"/>
      <c r="G161" s="113"/>
      <c r="H161" s="144"/>
      <c r="I161" s="113"/>
      <c r="J161" s="113"/>
      <c r="K161" s="114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4"/>
    </row>
    <row r="162" ht="18.0" customHeight="1">
      <c r="A162" s="113"/>
      <c r="B162" s="113"/>
      <c r="C162" s="113"/>
      <c r="D162" s="113"/>
      <c r="E162" s="113"/>
      <c r="F162" s="113"/>
      <c r="G162" s="113"/>
      <c r="H162" s="144"/>
      <c r="I162" s="113"/>
      <c r="J162" s="113"/>
      <c r="K162" s="114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4"/>
    </row>
    <row r="163" ht="18.0" customHeight="1">
      <c r="A163" s="113"/>
      <c r="B163" s="113"/>
      <c r="C163" s="113"/>
      <c r="D163" s="113"/>
      <c r="E163" s="113"/>
      <c r="F163" s="113"/>
      <c r="G163" s="113"/>
      <c r="H163" s="144"/>
      <c r="I163" s="113"/>
      <c r="J163" s="113"/>
      <c r="K163" s="114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4"/>
    </row>
    <row r="164" ht="18.0" customHeight="1">
      <c r="A164" s="113"/>
      <c r="B164" s="113"/>
      <c r="C164" s="113"/>
      <c r="D164" s="113"/>
      <c r="E164" s="113"/>
      <c r="F164" s="113"/>
      <c r="G164" s="113"/>
      <c r="H164" s="144"/>
      <c r="I164" s="113"/>
      <c r="J164" s="113"/>
      <c r="K164" s="114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4"/>
    </row>
    <row r="165" ht="18.0" customHeight="1">
      <c r="A165" s="113"/>
      <c r="B165" s="113"/>
      <c r="C165" s="113"/>
      <c r="D165" s="113"/>
      <c r="E165" s="113"/>
      <c r="F165" s="113"/>
      <c r="G165" s="113"/>
      <c r="H165" s="144"/>
      <c r="I165" s="113"/>
      <c r="J165" s="113"/>
      <c r="K165" s="114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4"/>
    </row>
    <row r="166" ht="18.0" customHeight="1">
      <c r="A166" s="113"/>
      <c r="B166" s="113"/>
      <c r="C166" s="113"/>
      <c r="D166" s="113"/>
      <c r="E166" s="113"/>
      <c r="F166" s="113"/>
      <c r="G166" s="113"/>
      <c r="H166" s="144"/>
      <c r="I166" s="113"/>
      <c r="J166" s="113"/>
      <c r="K166" s="114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4"/>
    </row>
    <row r="167" ht="18.0" customHeight="1">
      <c r="A167" s="113"/>
      <c r="B167" s="113"/>
      <c r="C167" s="113"/>
      <c r="D167" s="113"/>
      <c r="E167" s="113"/>
      <c r="F167" s="113"/>
      <c r="G167" s="113"/>
      <c r="H167" s="144"/>
      <c r="I167" s="113"/>
      <c r="J167" s="113"/>
      <c r="K167" s="114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4"/>
    </row>
    <row r="168" ht="18.0" customHeight="1">
      <c r="A168" s="113"/>
      <c r="B168" s="113"/>
      <c r="C168" s="113"/>
      <c r="D168" s="113"/>
      <c r="E168" s="113"/>
      <c r="F168" s="113"/>
      <c r="G168" s="113"/>
      <c r="H168" s="144"/>
      <c r="I168" s="113"/>
      <c r="J168" s="113"/>
      <c r="K168" s="114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4"/>
    </row>
    <row r="169" ht="18.0" customHeight="1">
      <c r="A169" s="113"/>
      <c r="B169" s="113"/>
      <c r="C169" s="113"/>
      <c r="D169" s="113"/>
      <c r="E169" s="113"/>
      <c r="F169" s="113"/>
      <c r="G169" s="113"/>
      <c r="H169" s="144"/>
      <c r="I169" s="113"/>
      <c r="J169" s="113"/>
      <c r="K169" s="114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4"/>
    </row>
    <row r="170" ht="18.0" customHeight="1">
      <c r="A170" s="113"/>
      <c r="B170" s="113"/>
      <c r="C170" s="113"/>
      <c r="D170" s="113"/>
      <c r="E170" s="113"/>
      <c r="F170" s="113"/>
      <c r="G170" s="113"/>
      <c r="H170" s="144"/>
      <c r="I170" s="113"/>
      <c r="J170" s="113"/>
      <c r="K170" s="114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4"/>
    </row>
    <row r="171" ht="18.0" customHeight="1">
      <c r="A171" s="113"/>
      <c r="B171" s="113"/>
      <c r="C171" s="113"/>
      <c r="D171" s="113"/>
      <c r="E171" s="113"/>
      <c r="F171" s="113"/>
      <c r="G171" s="113"/>
      <c r="H171" s="144"/>
      <c r="I171" s="113"/>
      <c r="J171" s="113"/>
      <c r="K171" s="114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4"/>
    </row>
    <row r="172" ht="18.0" customHeight="1">
      <c r="A172" s="113"/>
      <c r="B172" s="113"/>
      <c r="C172" s="113"/>
      <c r="D172" s="113"/>
      <c r="E172" s="113"/>
      <c r="F172" s="113"/>
      <c r="G172" s="113"/>
      <c r="H172" s="144"/>
      <c r="I172" s="113"/>
      <c r="J172" s="113"/>
      <c r="K172" s="114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4"/>
    </row>
    <row r="173" ht="18.0" customHeight="1">
      <c r="A173" s="113"/>
      <c r="B173" s="113"/>
      <c r="C173" s="113"/>
      <c r="D173" s="113"/>
      <c r="E173" s="113"/>
      <c r="F173" s="113"/>
      <c r="G173" s="113"/>
      <c r="H173" s="144"/>
      <c r="I173" s="113"/>
      <c r="J173" s="113"/>
      <c r="K173" s="114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4"/>
    </row>
    <row r="174" ht="18.0" customHeight="1">
      <c r="A174" s="113"/>
      <c r="B174" s="113"/>
      <c r="C174" s="113"/>
      <c r="D174" s="113"/>
      <c r="E174" s="113"/>
      <c r="F174" s="113"/>
      <c r="G174" s="113"/>
      <c r="H174" s="144"/>
      <c r="I174" s="113"/>
      <c r="J174" s="113"/>
      <c r="K174" s="114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4"/>
    </row>
    <row r="175" ht="18.0" customHeight="1">
      <c r="A175" s="113"/>
      <c r="B175" s="113"/>
      <c r="C175" s="113"/>
      <c r="D175" s="113"/>
      <c r="E175" s="113"/>
      <c r="F175" s="113"/>
      <c r="G175" s="113"/>
      <c r="H175" s="144"/>
      <c r="I175" s="113"/>
      <c r="J175" s="113"/>
      <c r="K175" s="114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4"/>
    </row>
    <row r="176" ht="18.0" customHeight="1">
      <c r="A176" s="113"/>
      <c r="B176" s="113"/>
      <c r="C176" s="113"/>
      <c r="D176" s="113"/>
      <c r="E176" s="113"/>
      <c r="F176" s="113"/>
      <c r="G176" s="113"/>
      <c r="H176" s="144"/>
      <c r="I176" s="113"/>
      <c r="J176" s="113"/>
      <c r="K176" s="114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4"/>
    </row>
    <row r="177" ht="18.0" customHeight="1">
      <c r="A177" s="113"/>
      <c r="B177" s="113"/>
      <c r="C177" s="113"/>
      <c r="D177" s="113"/>
      <c r="E177" s="113"/>
      <c r="F177" s="113"/>
      <c r="G177" s="113"/>
      <c r="H177" s="144"/>
      <c r="I177" s="113"/>
      <c r="J177" s="113"/>
      <c r="K177" s="114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4"/>
    </row>
    <row r="178" ht="18.0" customHeight="1">
      <c r="A178" s="113"/>
      <c r="B178" s="113"/>
      <c r="C178" s="113"/>
      <c r="D178" s="113"/>
      <c r="E178" s="113"/>
      <c r="F178" s="113"/>
      <c r="G178" s="113"/>
      <c r="H178" s="144"/>
      <c r="I178" s="113"/>
      <c r="J178" s="113"/>
      <c r="K178" s="114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4"/>
    </row>
    <row r="179" ht="18.0" customHeight="1">
      <c r="A179" s="113"/>
      <c r="B179" s="113"/>
      <c r="C179" s="113"/>
      <c r="D179" s="113"/>
      <c r="E179" s="113"/>
      <c r="F179" s="113"/>
      <c r="G179" s="113"/>
      <c r="H179" s="144"/>
      <c r="I179" s="113"/>
      <c r="J179" s="113"/>
      <c r="K179" s="114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4"/>
    </row>
    <row r="180" ht="18.0" customHeight="1">
      <c r="A180" s="113"/>
      <c r="B180" s="113"/>
      <c r="C180" s="113"/>
      <c r="D180" s="113"/>
      <c r="E180" s="113"/>
      <c r="F180" s="113"/>
      <c r="G180" s="113"/>
      <c r="H180" s="144"/>
      <c r="I180" s="113"/>
      <c r="J180" s="113"/>
      <c r="K180" s="114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4"/>
    </row>
    <row r="181" ht="18.0" customHeight="1">
      <c r="A181" s="113"/>
      <c r="B181" s="113"/>
      <c r="C181" s="113"/>
      <c r="D181" s="113"/>
      <c r="E181" s="113"/>
      <c r="F181" s="113"/>
      <c r="G181" s="113"/>
      <c r="H181" s="144"/>
      <c r="I181" s="113"/>
      <c r="J181" s="113"/>
      <c r="K181" s="114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4"/>
    </row>
    <row r="182" ht="18.0" customHeight="1">
      <c r="A182" s="113"/>
      <c r="B182" s="113"/>
      <c r="C182" s="113"/>
      <c r="D182" s="113"/>
      <c r="E182" s="113"/>
      <c r="F182" s="113"/>
      <c r="G182" s="113"/>
      <c r="H182" s="144"/>
      <c r="I182" s="113"/>
      <c r="J182" s="113"/>
      <c r="K182" s="114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4"/>
    </row>
    <row r="183" ht="18.0" customHeight="1">
      <c r="A183" s="113"/>
      <c r="B183" s="113"/>
      <c r="C183" s="113"/>
      <c r="D183" s="113"/>
      <c r="E183" s="113"/>
      <c r="F183" s="113"/>
      <c r="G183" s="113"/>
      <c r="H183" s="144"/>
      <c r="I183" s="113"/>
      <c r="J183" s="113"/>
      <c r="K183" s="114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4"/>
    </row>
    <row r="184" ht="18.0" customHeight="1">
      <c r="A184" s="113"/>
      <c r="B184" s="113"/>
      <c r="C184" s="113"/>
      <c r="D184" s="113"/>
      <c r="E184" s="113"/>
      <c r="F184" s="113"/>
      <c r="G184" s="113"/>
      <c r="H184" s="144"/>
      <c r="I184" s="113"/>
      <c r="J184" s="113"/>
      <c r="K184" s="114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4"/>
    </row>
    <row r="185" ht="18.0" customHeight="1">
      <c r="A185" s="113"/>
      <c r="B185" s="113"/>
      <c r="C185" s="113"/>
      <c r="D185" s="113"/>
      <c r="E185" s="113"/>
      <c r="F185" s="113"/>
      <c r="G185" s="113"/>
      <c r="H185" s="144"/>
      <c r="I185" s="113"/>
      <c r="J185" s="113"/>
      <c r="K185" s="114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4"/>
    </row>
    <row r="186" ht="18.0" customHeight="1">
      <c r="A186" s="113"/>
      <c r="B186" s="113"/>
      <c r="C186" s="113"/>
      <c r="D186" s="113"/>
      <c r="E186" s="113"/>
      <c r="F186" s="113"/>
      <c r="G186" s="113"/>
      <c r="H186" s="144"/>
      <c r="I186" s="113"/>
      <c r="J186" s="113"/>
      <c r="K186" s="114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4"/>
    </row>
    <row r="187" ht="18.0" customHeight="1">
      <c r="A187" s="113"/>
      <c r="B187" s="113"/>
      <c r="C187" s="113"/>
      <c r="D187" s="113"/>
      <c r="E187" s="113"/>
      <c r="F187" s="113"/>
      <c r="G187" s="113"/>
      <c r="H187" s="144"/>
      <c r="I187" s="113"/>
      <c r="J187" s="113"/>
      <c r="K187" s="114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4"/>
    </row>
    <row r="188" ht="18.0" customHeight="1">
      <c r="A188" s="113"/>
      <c r="B188" s="113"/>
      <c r="C188" s="113"/>
      <c r="D188" s="113"/>
      <c r="E188" s="113"/>
      <c r="F188" s="113"/>
      <c r="G188" s="113"/>
      <c r="H188" s="144"/>
      <c r="I188" s="113"/>
      <c r="J188" s="113"/>
      <c r="K188" s="114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4"/>
    </row>
    <row r="189" ht="18.0" customHeight="1">
      <c r="A189" s="113"/>
      <c r="B189" s="113"/>
      <c r="C189" s="113"/>
      <c r="D189" s="113"/>
      <c r="E189" s="113"/>
      <c r="F189" s="113"/>
      <c r="G189" s="113"/>
      <c r="H189" s="144"/>
      <c r="I189" s="113"/>
      <c r="J189" s="113"/>
      <c r="K189" s="114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4"/>
    </row>
    <row r="190" ht="18.0" customHeight="1">
      <c r="A190" s="113"/>
      <c r="B190" s="113"/>
      <c r="C190" s="113"/>
      <c r="D190" s="113"/>
      <c r="E190" s="113"/>
      <c r="F190" s="113"/>
      <c r="G190" s="113"/>
      <c r="H190" s="144"/>
      <c r="I190" s="113"/>
      <c r="J190" s="113"/>
      <c r="K190" s="114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4"/>
    </row>
    <row r="191" ht="18.0" customHeight="1">
      <c r="A191" s="113"/>
      <c r="B191" s="113"/>
      <c r="C191" s="113"/>
      <c r="D191" s="113"/>
      <c r="E191" s="113"/>
      <c r="F191" s="113"/>
      <c r="G191" s="113"/>
      <c r="H191" s="144"/>
      <c r="I191" s="113"/>
      <c r="J191" s="113"/>
      <c r="K191" s="114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4"/>
    </row>
    <row r="192" ht="18.0" customHeight="1">
      <c r="A192" s="113"/>
      <c r="B192" s="113"/>
      <c r="C192" s="113"/>
      <c r="D192" s="113"/>
      <c r="E192" s="113"/>
      <c r="F192" s="113"/>
      <c r="G192" s="113"/>
      <c r="H192" s="144"/>
      <c r="I192" s="113"/>
      <c r="J192" s="113"/>
      <c r="K192" s="114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4"/>
    </row>
    <row r="193" ht="18.0" customHeight="1">
      <c r="A193" s="113"/>
      <c r="B193" s="113"/>
      <c r="C193" s="113"/>
      <c r="D193" s="113"/>
      <c r="E193" s="113"/>
      <c r="F193" s="113"/>
      <c r="G193" s="113"/>
      <c r="H193" s="144"/>
      <c r="I193" s="113"/>
      <c r="J193" s="113"/>
      <c r="K193" s="114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4"/>
    </row>
    <row r="194" ht="18.0" customHeight="1">
      <c r="A194" s="113"/>
      <c r="B194" s="113"/>
      <c r="C194" s="113"/>
      <c r="D194" s="113"/>
      <c r="E194" s="113"/>
      <c r="F194" s="113"/>
      <c r="G194" s="113"/>
      <c r="H194" s="144"/>
      <c r="I194" s="113"/>
      <c r="J194" s="113"/>
      <c r="K194" s="114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4"/>
    </row>
    <row r="195" ht="18.0" customHeight="1">
      <c r="A195" s="113"/>
      <c r="B195" s="113"/>
      <c r="C195" s="113"/>
      <c r="D195" s="113"/>
      <c r="E195" s="113"/>
      <c r="F195" s="113"/>
      <c r="G195" s="113"/>
      <c r="H195" s="144"/>
      <c r="I195" s="113"/>
      <c r="J195" s="113"/>
      <c r="K195" s="114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4"/>
    </row>
    <row r="196" ht="18.0" customHeight="1">
      <c r="A196" s="113"/>
      <c r="B196" s="113"/>
      <c r="C196" s="113"/>
      <c r="D196" s="113"/>
      <c r="E196" s="113"/>
      <c r="F196" s="113"/>
      <c r="G196" s="113"/>
      <c r="H196" s="144"/>
      <c r="I196" s="113"/>
      <c r="J196" s="113"/>
      <c r="K196" s="114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4"/>
    </row>
    <row r="197" ht="18.0" customHeight="1">
      <c r="A197" s="113"/>
      <c r="B197" s="113"/>
      <c r="C197" s="113"/>
      <c r="D197" s="113"/>
      <c r="E197" s="113"/>
      <c r="F197" s="113"/>
      <c r="G197" s="113"/>
      <c r="H197" s="144"/>
      <c r="I197" s="113"/>
      <c r="J197" s="113"/>
      <c r="K197" s="114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4"/>
    </row>
    <row r="198" ht="18.0" customHeight="1">
      <c r="A198" s="113"/>
      <c r="B198" s="113"/>
      <c r="C198" s="113"/>
      <c r="D198" s="113"/>
      <c r="E198" s="113"/>
      <c r="F198" s="113"/>
      <c r="G198" s="113"/>
      <c r="H198" s="144"/>
      <c r="I198" s="113"/>
      <c r="J198" s="113"/>
      <c r="K198" s="114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4"/>
    </row>
    <row r="199" ht="18.0" customHeight="1">
      <c r="A199" s="113"/>
      <c r="B199" s="113"/>
      <c r="C199" s="113"/>
      <c r="D199" s="113"/>
      <c r="E199" s="113"/>
      <c r="F199" s="113"/>
      <c r="G199" s="113"/>
      <c r="H199" s="144"/>
      <c r="I199" s="113"/>
      <c r="J199" s="113"/>
      <c r="K199" s="114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4"/>
    </row>
    <row r="200" ht="18.0" customHeight="1">
      <c r="A200" s="113"/>
      <c r="B200" s="113"/>
      <c r="C200" s="113"/>
      <c r="D200" s="113"/>
      <c r="E200" s="113"/>
      <c r="F200" s="113"/>
      <c r="G200" s="113"/>
      <c r="H200" s="144"/>
      <c r="I200" s="113"/>
      <c r="J200" s="113"/>
      <c r="K200" s="114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4"/>
    </row>
    <row r="201" ht="18.0" customHeight="1">
      <c r="A201" s="113"/>
      <c r="B201" s="113"/>
      <c r="C201" s="113"/>
      <c r="D201" s="113"/>
      <c r="E201" s="113"/>
      <c r="F201" s="113"/>
      <c r="G201" s="113"/>
      <c r="H201" s="144"/>
      <c r="I201" s="113"/>
      <c r="J201" s="113"/>
      <c r="K201" s="114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4"/>
    </row>
    <row r="202" ht="18.0" customHeight="1">
      <c r="A202" s="113"/>
      <c r="B202" s="113"/>
      <c r="C202" s="113"/>
      <c r="D202" s="113"/>
      <c r="E202" s="113"/>
      <c r="F202" s="113"/>
      <c r="G202" s="113"/>
      <c r="H202" s="144"/>
      <c r="I202" s="113"/>
      <c r="J202" s="113"/>
      <c r="K202" s="114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4"/>
    </row>
    <row r="203" ht="18.0" customHeight="1">
      <c r="A203" s="113"/>
      <c r="B203" s="113"/>
      <c r="C203" s="113"/>
      <c r="D203" s="113"/>
      <c r="E203" s="113"/>
      <c r="F203" s="113"/>
      <c r="G203" s="113"/>
      <c r="H203" s="144"/>
      <c r="I203" s="113"/>
      <c r="J203" s="113"/>
      <c r="K203" s="114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4"/>
    </row>
    <row r="204" ht="18.0" customHeight="1">
      <c r="A204" s="113"/>
      <c r="B204" s="113"/>
      <c r="C204" s="113"/>
      <c r="D204" s="113"/>
      <c r="E204" s="113"/>
      <c r="F204" s="113"/>
      <c r="G204" s="113"/>
      <c r="H204" s="144"/>
      <c r="I204" s="113"/>
      <c r="J204" s="113"/>
      <c r="K204" s="114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4"/>
    </row>
    <row r="205" ht="18.0" customHeight="1">
      <c r="A205" s="113"/>
      <c r="B205" s="113"/>
      <c r="C205" s="113"/>
      <c r="D205" s="113"/>
      <c r="E205" s="113"/>
      <c r="F205" s="113"/>
      <c r="G205" s="113"/>
      <c r="H205" s="144"/>
      <c r="I205" s="113"/>
      <c r="J205" s="113"/>
      <c r="K205" s="114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4"/>
    </row>
    <row r="206" ht="18.0" customHeight="1">
      <c r="A206" s="113"/>
      <c r="B206" s="113"/>
      <c r="C206" s="113"/>
      <c r="D206" s="113"/>
      <c r="E206" s="113"/>
      <c r="F206" s="113"/>
      <c r="G206" s="113"/>
      <c r="H206" s="144"/>
      <c r="I206" s="113"/>
      <c r="J206" s="113"/>
      <c r="K206" s="114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4"/>
    </row>
    <row r="207" ht="18.0" customHeight="1">
      <c r="A207" s="113"/>
      <c r="B207" s="113"/>
      <c r="C207" s="113"/>
      <c r="D207" s="113"/>
      <c r="E207" s="113"/>
      <c r="F207" s="113"/>
      <c r="G207" s="113"/>
      <c r="H207" s="144"/>
      <c r="I207" s="113"/>
      <c r="J207" s="113"/>
      <c r="K207" s="114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4"/>
    </row>
    <row r="208" ht="18.0" customHeight="1">
      <c r="A208" s="113"/>
      <c r="B208" s="113"/>
      <c r="C208" s="113"/>
      <c r="D208" s="113"/>
      <c r="E208" s="113"/>
      <c r="F208" s="113"/>
      <c r="G208" s="113"/>
      <c r="H208" s="144"/>
      <c r="I208" s="113"/>
      <c r="J208" s="113"/>
      <c r="K208" s="114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4"/>
    </row>
    <row r="209" ht="18.0" customHeight="1">
      <c r="A209" s="113"/>
      <c r="B209" s="113"/>
      <c r="C209" s="113"/>
      <c r="D209" s="113"/>
      <c r="E209" s="113"/>
      <c r="F209" s="113"/>
      <c r="G209" s="113"/>
      <c r="H209" s="144"/>
      <c r="I209" s="113"/>
      <c r="J209" s="113"/>
      <c r="K209" s="114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4"/>
    </row>
    <row r="210" ht="18.0" customHeight="1">
      <c r="A210" s="113"/>
      <c r="B210" s="113"/>
      <c r="C210" s="113"/>
      <c r="D210" s="113"/>
      <c r="E210" s="113"/>
      <c r="F210" s="113"/>
      <c r="G210" s="113"/>
      <c r="H210" s="144"/>
      <c r="I210" s="113"/>
      <c r="J210" s="113"/>
      <c r="K210" s="114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4"/>
    </row>
    <row r="211" ht="18.0" customHeight="1">
      <c r="A211" s="113"/>
      <c r="B211" s="113"/>
      <c r="C211" s="113"/>
      <c r="D211" s="113"/>
      <c r="E211" s="113"/>
      <c r="F211" s="113"/>
      <c r="G211" s="113"/>
      <c r="H211" s="144"/>
      <c r="I211" s="113"/>
      <c r="J211" s="113"/>
      <c r="K211" s="114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4"/>
    </row>
    <row r="212" ht="18.0" customHeight="1">
      <c r="A212" s="113"/>
      <c r="B212" s="113"/>
      <c r="C212" s="113"/>
      <c r="D212" s="113"/>
      <c r="E212" s="113"/>
      <c r="F212" s="113"/>
      <c r="G212" s="113"/>
      <c r="H212" s="144"/>
      <c r="I212" s="113"/>
      <c r="J212" s="113"/>
      <c r="K212" s="114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4"/>
    </row>
    <row r="213" ht="18.0" customHeight="1">
      <c r="A213" s="113"/>
      <c r="B213" s="113"/>
      <c r="C213" s="113"/>
      <c r="D213" s="113"/>
      <c r="E213" s="113"/>
      <c r="F213" s="113"/>
      <c r="G213" s="113"/>
      <c r="H213" s="144"/>
      <c r="I213" s="113"/>
      <c r="J213" s="113"/>
      <c r="K213" s="114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4"/>
    </row>
    <row r="214" ht="18.0" customHeight="1">
      <c r="A214" s="113"/>
      <c r="B214" s="113"/>
      <c r="C214" s="113"/>
      <c r="D214" s="113"/>
      <c r="E214" s="113"/>
      <c r="F214" s="113"/>
      <c r="G214" s="113"/>
      <c r="H214" s="144"/>
      <c r="I214" s="113"/>
      <c r="J214" s="113"/>
      <c r="K214" s="114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4"/>
    </row>
    <row r="215" ht="18.0" customHeight="1">
      <c r="A215" s="113"/>
      <c r="B215" s="113"/>
      <c r="C215" s="113"/>
      <c r="D215" s="113"/>
      <c r="E215" s="113"/>
      <c r="F215" s="113"/>
      <c r="G215" s="113"/>
      <c r="H215" s="144"/>
      <c r="I215" s="113"/>
      <c r="J215" s="113"/>
      <c r="K215" s="114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4"/>
    </row>
    <row r="216" ht="18.0" customHeight="1">
      <c r="A216" s="113"/>
      <c r="B216" s="113"/>
      <c r="C216" s="113"/>
      <c r="D216" s="113"/>
      <c r="E216" s="113"/>
      <c r="F216" s="113"/>
      <c r="G216" s="113"/>
      <c r="H216" s="144"/>
      <c r="I216" s="113"/>
      <c r="J216" s="113"/>
      <c r="K216" s="114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4"/>
    </row>
    <row r="217" ht="18.0" customHeight="1">
      <c r="A217" s="113"/>
      <c r="B217" s="113"/>
      <c r="C217" s="113"/>
      <c r="D217" s="113"/>
      <c r="E217" s="113"/>
      <c r="F217" s="113"/>
      <c r="G217" s="113"/>
      <c r="H217" s="144"/>
      <c r="I217" s="113"/>
      <c r="J217" s="113"/>
      <c r="K217" s="114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4"/>
    </row>
    <row r="218" ht="18.0" customHeight="1">
      <c r="A218" s="113"/>
      <c r="B218" s="113"/>
      <c r="C218" s="113"/>
      <c r="D218" s="113"/>
      <c r="E218" s="113"/>
      <c r="F218" s="113"/>
      <c r="G218" s="113"/>
      <c r="H218" s="144"/>
      <c r="I218" s="113"/>
      <c r="J218" s="113"/>
      <c r="K218" s="114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4"/>
    </row>
    <row r="219" ht="18.0" customHeight="1">
      <c r="A219" s="113"/>
      <c r="B219" s="113"/>
      <c r="C219" s="113"/>
      <c r="D219" s="113"/>
      <c r="E219" s="113"/>
      <c r="F219" s="113"/>
      <c r="G219" s="113"/>
      <c r="H219" s="144"/>
      <c r="I219" s="113"/>
      <c r="J219" s="113"/>
      <c r="K219" s="114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4"/>
    </row>
    <row r="220" ht="18.0" customHeight="1">
      <c r="A220" s="113"/>
      <c r="B220" s="113"/>
      <c r="C220" s="113"/>
      <c r="D220" s="113"/>
      <c r="E220" s="113"/>
      <c r="F220" s="113"/>
      <c r="G220" s="113"/>
      <c r="H220" s="144"/>
      <c r="I220" s="113"/>
      <c r="J220" s="113"/>
      <c r="K220" s="114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4"/>
    </row>
    <row r="221" ht="18.0" customHeight="1">
      <c r="A221" s="113"/>
      <c r="B221" s="113"/>
      <c r="C221" s="113"/>
      <c r="D221" s="113"/>
      <c r="E221" s="113"/>
      <c r="F221" s="113"/>
      <c r="G221" s="113"/>
      <c r="H221" s="144"/>
      <c r="I221" s="113"/>
      <c r="J221" s="113"/>
      <c r="K221" s="114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4"/>
    </row>
    <row r="222" ht="18.0" customHeight="1">
      <c r="A222" s="113"/>
      <c r="B222" s="113"/>
      <c r="C222" s="113"/>
      <c r="D222" s="113"/>
      <c r="E222" s="113"/>
      <c r="F222" s="113"/>
      <c r="G222" s="113"/>
      <c r="H222" s="144"/>
      <c r="I222" s="113"/>
      <c r="J222" s="113"/>
      <c r="K222" s="114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4"/>
    </row>
    <row r="223" ht="18.0" customHeight="1">
      <c r="A223" s="113"/>
      <c r="B223" s="113"/>
      <c r="C223" s="113"/>
      <c r="D223" s="113"/>
      <c r="E223" s="113"/>
      <c r="F223" s="113"/>
      <c r="G223" s="113"/>
      <c r="H223" s="144"/>
      <c r="I223" s="113"/>
      <c r="J223" s="113"/>
      <c r="K223" s="114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4"/>
    </row>
    <row r="224" ht="18.0" customHeight="1">
      <c r="A224" s="113"/>
      <c r="B224" s="113"/>
      <c r="C224" s="113"/>
      <c r="D224" s="113"/>
      <c r="E224" s="113"/>
      <c r="F224" s="113"/>
      <c r="G224" s="113"/>
      <c r="H224" s="144"/>
      <c r="I224" s="113"/>
      <c r="J224" s="113"/>
      <c r="K224" s="114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4"/>
    </row>
    <row r="225" ht="18.0" customHeight="1">
      <c r="A225" s="113"/>
      <c r="B225" s="113"/>
      <c r="C225" s="113"/>
      <c r="D225" s="113"/>
      <c r="E225" s="113"/>
      <c r="F225" s="113"/>
      <c r="G225" s="113"/>
      <c r="H225" s="144"/>
      <c r="I225" s="113"/>
      <c r="J225" s="113"/>
      <c r="K225" s="114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4"/>
    </row>
    <row r="226" ht="18.0" customHeight="1">
      <c r="A226" s="113"/>
      <c r="B226" s="113"/>
      <c r="C226" s="113"/>
      <c r="D226" s="113"/>
      <c r="E226" s="113"/>
      <c r="F226" s="113"/>
      <c r="G226" s="113"/>
      <c r="H226" s="144"/>
      <c r="I226" s="113"/>
      <c r="J226" s="113"/>
      <c r="K226" s="114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4"/>
    </row>
    <row r="227" ht="18.0" customHeight="1">
      <c r="A227" s="113"/>
      <c r="B227" s="113"/>
      <c r="C227" s="113"/>
      <c r="D227" s="113"/>
      <c r="E227" s="113"/>
      <c r="F227" s="113"/>
      <c r="G227" s="113"/>
      <c r="H227" s="144"/>
      <c r="I227" s="113"/>
      <c r="J227" s="113"/>
      <c r="K227" s="114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4"/>
    </row>
    <row r="228" ht="18.0" customHeight="1">
      <c r="A228" s="113"/>
      <c r="B228" s="113"/>
      <c r="C228" s="113"/>
      <c r="D228" s="113"/>
      <c r="E228" s="113"/>
      <c r="F228" s="113"/>
      <c r="G228" s="113"/>
      <c r="H228" s="144"/>
      <c r="I228" s="113"/>
      <c r="J228" s="113"/>
      <c r="K228" s="114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4"/>
    </row>
    <row r="229" ht="18.0" customHeight="1">
      <c r="A229" s="113"/>
      <c r="B229" s="113"/>
      <c r="C229" s="113"/>
      <c r="D229" s="113"/>
      <c r="E229" s="113"/>
      <c r="F229" s="113"/>
      <c r="G229" s="113"/>
      <c r="H229" s="144"/>
      <c r="I229" s="113"/>
      <c r="J229" s="113"/>
      <c r="K229" s="114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4"/>
    </row>
    <row r="230" ht="18.0" customHeight="1">
      <c r="A230" s="113"/>
      <c r="B230" s="113"/>
      <c r="C230" s="113"/>
      <c r="D230" s="113"/>
      <c r="E230" s="113"/>
      <c r="F230" s="113"/>
      <c r="G230" s="113"/>
      <c r="H230" s="144"/>
      <c r="I230" s="113"/>
      <c r="J230" s="113"/>
      <c r="K230" s="114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4"/>
    </row>
    <row r="231" ht="18.0" customHeight="1">
      <c r="A231" s="113"/>
      <c r="B231" s="113"/>
      <c r="C231" s="113"/>
      <c r="D231" s="113"/>
      <c r="E231" s="113"/>
      <c r="F231" s="113"/>
      <c r="G231" s="113"/>
      <c r="H231" s="144"/>
      <c r="I231" s="113"/>
      <c r="J231" s="113"/>
      <c r="K231" s="114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4"/>
    </row>
    <row r="232" ht="18.0" customHeight="1">
      <c r="A232" s="113"/>
      <c r="B232" s="113"/>
      <c r="C232" s="113"/>
      <c r="D232" s="113"/>
      <c r="E232" s="113"/>
      <c r="F232" s="113"/>
      <c r="G232" s="113"/>
      <c r="H232" s="144"/>
      <c r="I232" s="113"/>
      <c r="J232" s="113"/>
      <c r="K232" s="114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4"/>
    </row>
    <row r="233" ht="18.0" customHeight="1">
      <c r="A233" s="113"/>
      <c r="B233" s="113"/>
      <c r="C233" s="113"/>
      <c r="D233" s="113"/>
      <c r="E233" s="113"/>
      <c r="F233" s="113"/>
      <c r="G233" s="113"/>
      <c r="H233" s="144"/>
      <c r="I233" s="113"/>
      <c r="J233" s="113"/>
      <c r="K233" s="114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4"/>
    </row>
    <row r="234" ht="18.0" customHeight="1">
      <c r="A234" s="113"/>
      <c r="B234" s="113"/>
      <c r="C234" s="113"/>
      <c r="D234" s="113"/>
      <c r="E234" s="113"/>
      <c r="F234" s="113"/>
      <c r="G234" s="113"/>
      <c r="H234" s="144"/>
      <c r="I234" s="113"/>
      <c r="J234" s="113"/>
      <c r="K234" s="114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4"/>
    </row>
    <row r="235" ht="18.0" customHeight="1">
      <c r="A235" s="113"/>
      <c r="B235" s="113"/>
      <c r="C235" s="113"/>
      <c r="D235" s="113"/>
      <c r="E235" s="113"/>
      <c r="F235" s="113"/>
      <c r="G235" s="113"/>
      <c r="H235" s="144"/>
      <c r="I235" s="113"/>
      <c r="J235" s="113"/>
      <c r="K235" s="114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4"/>
    </row>
    <row r="236" ht="18.0" customHeight="1">
      <c r="A236" s="113"/>
      <c r="B236" s="113"/>
      <c r="C236" s="113"/>
      <c r="D236" s="113"/>
      <c r="E236" s="113"/>
      <c r="F236" s="113"/>
      <c r="G236" s="113"/>
      <c r="H236" s="144"/>
      <c r="I236" s="113"/>
      <c r="J236" s="113"/>
      <c r="K236" s="114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4"/>
    </row>
    <row r="237" ht="18.0" customHeight="1">
      <c r="A237" s="113"/>
      <c r="B237" s="113"/>
      <c r="C237" s="113"/>
      <c r="D237" s="113"/>
      <c r="E237" s="113"/>
      <c r="F237" s="113"/>
      <c r="G237" s="113"/>
      <c r="H237" s="144"/>
      <c r="I237" s="113"/>
      <c r="J237" s="113"/>
      <c r="K237" s="114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4"/>
    </row>
    <row r="238" ht="18.0" customHeight="1">
      <c r="A238" s="113"/>
      <c r="B238" s="113"/>
      <c r="C238" s="113"/>
      <c r="D238" s="113"/>
      <c r="E238" s="113"/>
      <c r="F238" s="113"/>
      <c r="G238" s="113"/>
      <c r="H238" s="144"/>
      <c r="I238" s="113"/>
      <c r="J238" s="113"/>
      <c r="K238" s="114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4"/>
    </row>
    <row r="239" ht="18.0" customHeight="1">
      <c r="A239" s="113"/>
      <c r="B239" s="113"/>
      <c r="C239" s="113"/>
      <c r="D239" s="113"/>
      <c r="E239" s="113"/>
      <c r="F239" s="113"/>
      <c r="G239" s="113"/>
      <c r="H239" s="144"/>
      <c r="I239" s="113"/>
      <c r="J239" s="113"/>
      <c r="K239" s="114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4"/>
    </row>
    <row r="240" ht="18.0" customHeight="1">
      <c r="A240" s="113"/>
      <c r="B240" s="113"/>
      <c r="C240" s="113"/>
      <c r="D240" s="113"/>
      <c r="E240" s="113"/>
      <c r="F240" s="113"/>
      <c r="G240" s="113"/>
      <c r="H240" s="144"/>
      <c r="I240" s="113"/>
      <c r="J240" s="113"/>
      <c r="K240" s="114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4"/>
    </row>
    <row r="241" ht="18.0" customHeight="1">
      <c r="A241" s="113"/>
      <c r="B241" s="113"/>
      <c r="C241" s="113"/>
      <c r="D241" s="113"/>
      <c r="E241" s="113"/>
      <c r="F241" s="113"/>
      <c r="G241" s="113"/>
      <c r="H241" s="144"/>
      <c r="I241" s="113"/>
      <c r="J241" s="113"/>
      <c r="K241" s="114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4"/>
    </row>
    <row r="242" ht="18.0" customHeight="1">
      <c r="A242" s="113"/>
      <c r="B242" s="113"/>
      <c r="C242" s="113"/>
      <c r="D242" s="113"/>
      <c r="E242" s="113"/>
      <c r="F242" s="113"/>
      <c r="G242" s="113"/>
      <c r="H242" s="144"/>
      <c r="I242" s="113"/>
      <c r="J242" s="113"/>
      <c r="K242" s="114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4"/>
    </row>
    <row r="243" ht="18.0" customHeight="1">
      <c r="A243" s="113"/>
      <c r="B243" s="113"/>
      <c r="C243" s="113"/>
      <c r="D243" s="113"/>
      <c r="E243" s="113"/>
      <c r="F243" s="113"/>
      <c r="G243" s="113"/>
      <c r="H243" s="144"/>
      <c r="I243" s="113"/>
      <c r="J243" s="113"/>
      <c r="K243" s="114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4"/>
    </row>
    <row r="244" ht="18.0" customHeight="1">
      <c r="A244" s="113"/>
      <c r="B244" s="113"/>
      <c r="C244" s="113"/>
      <c r="D244" s="113"/>
      <c r="E244" s="113"/>
      <c r="F244" s="113"/>
      <c r="G244" s="113"/>
      <c r="H244" s="144"/>
      <c r="I244" s="113"/>
      <c r="J244" s="113"/>
      <c r="K244" s="114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4"/>
    </row>
    <row r="245" ht="18.0" customHeight="1">
      <c r="A245" s="113"/>
      <c r="B245" s="113"/>
      <c r="C245" s="113"/>
      <c r="D245" s="113"/>
      <c r="E245" s="113"/>
      <c r="F245" s="113"/>
      <c r="G245" s="113"/>
      <c r="H245" s="144"/>
      <c r="I245" s="113"/>
      <c r="J245" s="113"/>
      <c r="K245" s="114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4"/>
    </row>
    <row r="246" ht="18.0" customHeight="1">
      <c r="A246" s="113"/>
      <c r="B246" s="113"/>
      <c r="C246" s="113"/>
      <c r="D246" s="113"/>
      <c r="E246" s="113"/>
      <c r="F246" s="113"/>
      <c r="G246" s="113"/>
      <c r="H246" s="144"/>
      <c r="I246" s="113"/>
      <c r="J246" s="113"/>
      <c r="K246" s="114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4"/>
    </row>
    <row r="247" ht="18.0" customHeight="1">
      <c r="A247" s="113"/>
      <c r="B247" s="113"/>
      <c r="C247" s="113"/>
      <c r="D247" s="113"/>
      <c r="E247" s="113"/>
      <c r="F247" s="113"/>
      <c r="G247" s="113"/>
      <c r="H247" s="144"/>
      <c r="I247" s="113"/>
      <c r="J247" s="113"/>
      <c r="K247" s="114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4"/>
    </row>
    <row r="248" ht="18.0" customHeight="1">
      <c r="A248" s="113"/>
      <c r="B248" s="113"/>
      <c r="C248" s="113"/>
      <c r="D248" s="113"/>
      <c r="E248" s="113"/>
      <c r="F248" s="113"/>
      <c r="G248" s="113"/>
      <c r="H248" s="144"/>
      <c r="I248" s="113"/>
      <c r="J248" s="113"/>
      <c r="K248" s="114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4"/>
    </row>
    <row r="249" ht="18.0" customHeight="1">
      <c r="A249" s="113"/>
      <c r="B249" s="113"/>
      <c r="C249" s="113"/>
      <c r="D249" s="113"/>
      <c r="E249" s="113"/>
      <c r="F249" s="113"/>
      <c r="G249" s="113"/>
      <c r="H249" s="144"/>
      <c r="I249" s="113"/>
      <c r="J249" s="113"/>
      <c r="K249" s="114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4"/>
    </row>
    <row r="250" ht="18.0" customHeight="1">
      <c r="A250" s="113"/>
      <c r="B250" s="113"/>
      <c r="C250" s="113"/>
      <c r="D250" s="113"/>
      <c r="E250" s="113"/>
      <c r="F250" s="113"/>
      <c r="G250" s="113"/>
      <c r="H250" s="144"/>
      <c r="I250" s="113"/>
      <c r="J250" s="113"/>
      <c r="K250" s="114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4"/>
    </row>
    <row r="251" ht="18.0" customHeight="1">
      <c r="A251" s="113"/>
      <c r="B251" s="113"/>
      <c r="C251" s="113"/>
      <c r="D251" s="113"/>
      <c r="E251" s="113"/>
      <c r="F251" s="113"/>
      <c r="G251" s="113"/>
      <c r="H251" s="144"/>
      <c r="I251" s="113"/>
      <c r="J251" s="113"/>
      <c r="K251" s="114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4"/>
    </row>
    <row r="252" ht="18.0" customHeight="1">
      <c r="A252" s="113"/>
      <c r="B252" s="113"/>
      <c r="C252" s="113"/>
      <c r="D252" s="113"/>
      <c r="E252" s="113"/>
      <c r="F252" s="113"/>
      <c r="G252" s="113"/>
      <c r="H252" s="144"/>
      <c r="I252" s="113"/>
      <c r="J252" s="113"/>
      <c r="K252" s="114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4"/>
    </row>
    <row r="253" ht="18.0" customHeight="1">
      <c r="A253" s="113"/>
      <c r="B253" s="113"/>
      <c r="C253" s="113"/>
      <c r="D253" s="113"/>
      <c r="E253" s="113"/>
      <c r="F253" s="113"/>
      <c r="G253" s="113"/>
      <c r="H253" s="144"/>
      <c r="I253" s="113"/>
      <c r="J253" s="113"/>
      <c r="K253" s="114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4"/>
    </row>
    <row r="254" ht="18.0" customHeight="1">
      <c r="A254" s="113"/>
      <c r="B254" s="113"/>
      <c r="C254" s="113"/>
      <c r="D254" s="113"/>
      <c r="E254" s="113"/>
      <c r="F254" s="113"/>
      <c r="G254" s="113"/>
      <c r="H254" s="144"/>
      <c r="I254" s="113"/>
      <c r="J254" s="113"/>
      <c r="K254" s="114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4"/>
    </row>
    <row r="255" ht="18.0" customHeight="1">
      <c r="A255" s="113"/>
      <c r="B255" s="113"/>
      <c r="C255" s="113"/>
      <c r="D255" s="113"/>
      <c r="E255" s="113"/>
      <c r="F255" s="113"/>
      <c r="G255" s="113"/>
      <c r="H255" s="144"/>
      <c r="I255" s="113"/>
      <c r="J255" s="113"/>
      <c r="K255" s="114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4"/>
    </row>
    <row r="256" ht="18.0" customHeight="1">
      <c r="A256" s="113"/>
      <c r="B256" s="113"/>
      <c r="C256" s="113"/>
      <c r="D256" s="113"/>
      <c r="E256" s="113"/>
      <c r="F256" s="113"/>
      <c r="G256" s="113"/>
      <c r="H256" s="144"/>
      <c r="I256" s="113"/>
      <c r="J256" s="113"/>
      <c r="K256" s="114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4"/>
    </row>
    <row r="257" ht="18.0" customHeight="1">
      <c r="A257" s="113"/>
      <c r="B257" s="113"/>
      <c r="C257" s="113"/>
      <c r="D257" s="113"/>
      <c r="E257" s="113"/>
      <c r="F257" s="113"/>
      <c r="G257" s="113"/>
      <c r="H257" s="144"/>
      <c r="I257" s="113"/>
      <c r="J257" s="113"/>
      <c r="K257" s="114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4"/>
    </row>
    <row r="258" ht="18.0" customHeight="1">
      <c r="A258" s="113"/>
      <c r="B258" s="113"/>
      <c r="C258" s="113"/>
      <c r="D258" s="113"/>
      <c r="E258" s="113"/>
      <c r="F258" s="113"/>
      <c r="G258" s="113"/>
      <c r="H258" s="144"/>
      <c r="I258" s="113"/>
      <c r="J258" s="113"/>
      <c r="K258" s="114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4"/>
    </row>
    <row r="259" ht="18.0" customHeight="1">
      <c r="A259" s="113"/>
      <c r="B259" s="113"/>
      <c r="C259" s="113"/>
      <c r="D259" s="113"/>
      <c r="E259" s="113"/>
      <c r="F259" s="113"/>
      <c r="G259" s="113"/>
      <c r="H259" s="144"/>
      <c r="I259" s="113"/>
      <c r="J259" s="113"/>
      <c r="K259" s="114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4"/>
    </row>
    <row r="260" ht="18.0" customHeight="1">
      <c r="A260" s="113"/>
      <c r="B260" s="113"/>
      <c r="C260" s="113"/>
      <c r="D260" s="113"/>
      <c r="E260" s="113"/>
      <c r="F260" s="113"/>
      <c r="G260" s="113"/>
      <c r="H260" s="144"/>
      <c r="I260" s="113"/>
      <c r="J260" s="113"/>
      <c r="K260" s="114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4"/>
    </row>
    <row r="261" ht="18.0" customHeight="1">
      <c r="A261" s="113"/>
      <c r="B261" s="113"/>
      <c r="C261" s="113"/>
      <c r="D261" s="113"/>
      <c r="E261" s="113"/>
      <c r="F261" s="113"/>
      <c r="G261" s="113"/>
      <c r="H261" s="144"/>
      <c r="I261" s="113"/>
      <c r="J261" s="113"/>
      <c r="K261" s="114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  <c r="AL261" s="114"/>
    </row>
    <row r="262" ht="18.0" customHeight="1">
      <c r="A262" s="113"/>
      <c r="B262" s="113"/>
      <c r="C262" s="113"/>
      <c r="D262" s="113"/>
      <c r="E262" s="113"/>
      <c r="F262" s="113"/>
      <c r="G262" s="113"/>
      <c r="H262" s="144"/>
      <c r="I262" s="113"/>
      <c r="J262" s="113"/>
      <c r="K262" s="114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4"/>
    </row>
    <row r="263" ht="18.0" customHeight="1">
      <c r="A263" s="113"/>
      <c r="B263" s="113"/>
      <c r="C263" s="113"/>
      <c r="D263" s="113"/>
      <c r="E263" s="113"/>
      <c r="F263" s="113"/>
      <c r="G263" s="113"/>
      <c r="H263" s="144"/>
      <c r="I263" s="113"/>
      <c r="J263" s="113"/>
      <c r="K263" s="114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4"/>
    </row>
    <row r="264" ht="18.0" customHeight="1">
      <c r="A264" s="113"/>
      <c r="B264" s="113"/>
      <c r="C264" s="113"/>
      <c r="D264" s="113"/>
      <c r="E264" s="113"/>
      <c r="F264" s="113"/>
      <c r="G264" s="113"/>
      <c r="H264" s="144"/>
      <c r="I264" s="113"/>
      <c r="J264" s="113"/>
      <c r="K264" s="114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4"/>
    </row>
    <row r="265" ht="18.0" customHeight="1">
      <c r="A265" s="113"/>
      <c r="B265" s="113"/>
      <c r="C265" s="113"/>
      <c r="D265" s="113"/>
      <c r="E265" s="113"/>
      <c r="F265" s="113"/>
      <c r="G265" s="113"/>
      <c r="H265" s="144"/>
      <c r="I265" s="113"/>
      <c r="J265" s="113"/>
      <c r="K265" s="114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  <c r="AL265" s="114"/>
    </row>
    <row r="266" ht="18.0" customHeight="1">
      <c r="A266" s="113"/>
      <c r="B266" s="113"/>
      <c r="C266" s="113"/>
      <c r="D266" s="113"/>
      <c r="E266" s="113"/>
      <c r="F266" s="113"/>
      <c r="G266" s="113"/>
      <c r="H266" s="144"/>
      <c r="I266" s="113"/>
      <c r="J266" s="113"/>
      <c r="K266" s="114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4"/>
    </row>
    <row r="267" ht="18.0" customHeight="1">
      <c r="A267" s="113"/>
      <c r="B267" s="113"/>
      <c r="C267" s="113"/>
      <c r="D267" s="113"/>
      <c r="E267" s="113"/>
      <c r="F267" s="113"/>
      <c r="G267" s="113"/>
      <c r="H267" s="144"/>
      <c r="I267" s="113"/>
      <c r="J267" s="113"/>
      <c r="K267" s="114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  <c r="AL267" s="114"/>
    </row>
    <row r="268" ht="18.0" customHeight="1">
      <c r="A268" s="113"/>
      <c r="B268" s="113"/>
      <c r="C268" s="113"/>
      <c r="D268" s="113"/>
      <c r="E268" s="113"/>
      <c r="F268" s="113"/>
      <c r="G268" s="113"/>
      <c r="H268" s="144"/>
      <c r="I268" s="113"/>
      <c r="J268" s="113"/>
      <c r="K268" s="114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  <c r="AL268" s="114"/>
    </row>
    <row r="269" ht="18.0" customHeight="1">
      <c r="A269" s="113"/>
      <c r="B269" s="113"/>
      <c r="C269" s="113"/>
      <c r="D269" s="113"/>
      <c r="E269" s="113"/>
      <c r="F269" s="113"/>
      <c r="G269" s="113"/>
      <c r="H269" s="144"/>
      <c r="I269" s="113"/>
      <c r="J269" s="113"/>
      <c r="K269" s="114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  <c r="AL269" s="114"/>
    </row>
    <row r="270" ht="18.0" customHeight="1">
      <c r="A270" s="113"/>
      <c r="B270" s="113"/>
      <c r="C270" s="113"/>
      <c r="D270" s="113"/>
      <c r="E270" s="113"/>
      <c r="F270" s="113"/>
      <c r="G270" s="113"/>
      <c r="H270" s="144"/>
      <c r="I270" s="113"/>
      <c r="J270" s="113"/>
      <c r="K270" s="114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4"/>
    </row>
    <row r="271" ht="18.0" customHeight="1">
      <c r="A271" s="113"/>
      <c r="B271" s="113"/>
      <c r="C271" s="113"/>
      <c r="D271" s="113"/>
      <c r="E271" s="113"/>
      <c r="F271" s="113"/>
      <c r="G271" s="113"/>
      <c r="H271" s="144"/>
      <c r="I271" s="113"/>
      <c r="J271" s="113"/>
      <c r="K271" s="114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3"/>
      <c r="AL271" s="114"/>
    </row>
    <row r="272" ht="18.0" customHeight="1">
      <c r="A272" s="113"/>
      <c r="B272" s="113"/>
      <c r="C272" s="113"/>
      <c r="D272" s="113"/>
      <c r="E272" s="113"/>
      <c r="F272" s="113"/>
      <c r="G272" s="113"/>
      <c r="H272" s="144"/>
      <c r="I272" s="113"/>
      <c r="J272" s="113"/>
      <c r="K272" s="114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  <c r="AL272" s="114"/>
    </row>
    <row r="273" ht="18.0" customHeight="1">
      <c r="A273" s="113"/>
      <c r="B273" s="113"/>
      <c r="C273" s="113"/>
      <c r="D273" s="113"/>
      <c r="E273" s="113"/>
      <c r="F273" s="113"/>
      <c r="G273" s="113"/>
      <c r="H273" s="144"/>
      <c r="I273" s="113"/>
      <c r="J273" s="113"/>
      <c r="K273" s="114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  <c r="AL273" s="114"/>
    </row>
    <row r="274" ht="18.0" customHeight="1">
      <c r="A274" s="113"/>
      <c r="B274" s="113"/>
      <c r="C274" s="113"/>
      <c r="D274" s="113"/>
      <c r="E274" s="113"/>
      <c r="F274" s="113"/>
      <c r="G274" s="113"/>
      <c r="H274" s="144"/>
      <c r="I274" s="113"/>
      <c r="J274" s="113"/>
      <c r="K274" s="114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  <c r="AL274" s="114"/>
    </row>
    <row r="275" ht="18.0" customHeight="1">
      <c r="A275" s="113"/>
      <c r="B275" s="113"/>
      <c r="C275" s="113"/>
      <c r="D275" s="113"/>
      <c r="E275" s="113"/>
      <c r="F275" s="113"/>
      <c r="G275" s="113"/>
      <c r="H275" s="144"/>
      <c r="I275" s="113"/>
      <c r="J275" s="113"/>
      <c r="K275" s="114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  <c r="AL275" s="114"/>
    </row>
    <row r="276" ht="18.0" customHeight="1">
      <c r="A276" s="113"/>
      <c r="B276" s="113"/>
      <c r="C276" s="113"/>
      <c r="D276" s="113"/>
      <c r="E276" s="113"/>
      <c r="F276" s="113"/>
      <c r="G276" s="113"/>
      <c r="H276" s="144"/>
      <c r="I276" s="113"/>
      <c r="J276" s="113"/>
      <c r="K276" s="114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  <c r="AL276" s="114"/>
    </row>
    <row r="277" ht="18.0" customHeight="1">
      <c r="A277" s="113"/>
      <c r="B277" s="113"/>
      <c r="C277" s="113"/>
      <c r="D277" s="113"/>
      <c r="E277" s="113"/>
      <c r="F277" s="113"/>
      <c r="G277" s="113"/>
      <c r="H277" s="144"/>
      <c r="I277" s="113"/>
      <c r="J277" s="113"/>
      <c r="K277" s="114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  <c r="AL277" s="114"/>
    </row>
    <row r="278" ht="18.0" customHeight="1">
      <c r="A278" s="113"/>
      <c r="B278" s="113"/>
      <c r="C278" s="113"/>
      <c r="D278" s="113"/>
      <c r="E278" s="113"/>
      <c r="F278" s="113"/>
      <c r="G278" s="113"/>
      <c r="H278" s="144"/>
      <c r="I278" s="113"/>
      <c r="J278" s="113"/>
      <c r="K278" s="114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4"/>
    </row>
    <row r="279" ht="18.0" customHeight="1">
      <c r="A279" s="113"/>
      <c r="B279" s="113"/>
      <c r="C279" s="113"/>
      <c r="D279" s="113"/>
      <c r="E279" s="113"/>
      <c r="F279" s="113"/>
      <c r="G279" s="113"/>
      <c r="H279" s="144"/>
      <c r="I279" s="113"/>
      <c r="J279" s="113"/>
      <c r="K279" s="114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  <c r="AL279" s="114"/>
    </row>
    <row r="280" ht="18.0" customHeight="1">
      <c r="A280" s="113"/>
      <c r="B280" s="113"/>
      <c r="C280" s="113"/>
      <c r="D280" s="113"/>
      <c r="E280" s="113"/>
      <c r="F280" s="113"/>
      <c r="G280" s="113"/>
      <c r="H280" s="144"/>
      <c r="I280" s="113"/>
      <c r="J280" s="113"/>
      <c r="K280" s="114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4"/>
    </row>
    <row r="281" ht="18.0" customHeight="1">
      <c r="A281" s="113"/>
      <c r="B281" s="113"/>
      <c r="C281" s="113"/>
      <c r="D281" s="113"/>
      <c r="E281" s="113"/>
      <c r="F281" s="113"/>
      <c r="G281" s="113"/>
      <c r="H281" s="144"/>
      <c r="I281" s="113"/>
      <c r="J281" s="113"/>
      <c r="K281" s="114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4"/>
    </row>
    <row r="282" ht="18.0" customHeight="1">
      <c r="A282" s="113"/>
      <c r="B282" s="113"/>
      <c r="C282" s="113"/>
      <c r="D282" s="113"/>
      <c r="E282" s="113"/>
      <c r="F282" s="113"/>
      <c r="G282" s="113"/>
      <c r="H282" s="144"/>
      <c r="I282" s="113"/>
      <c r="J282" s="113"/>
      <c r="K282" s="114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4"/>
    </row>
    <row r="283" ht="18.0" customHeight="1">
      <c r="A283" s="113"/>
      <c r="B283" s="113"/>
      <c r="C283" s="113"/>
      <c r="D283" s="113"/>
      <c r="E283" s="113"/>
      <c r="F283" s="113"/>
      <c r="G283" s="113"/>
      <c r="H283" s="144"/>
      <c r="I283" s="113"/>
      <c r="J283" s="113"/>
      <c r="K283" s="114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  <c r="AL283" s="114"/>
    </row>
    <row r="284" ht="18.0" customHeight="1">
      <c r="A284" s="113"/>
      <c r="B284" s="113"/>
      <c r="C284" s="113"/>
      <c r="D284" s="113"/>
      <c r="E284" s="113"/>
      <c r="F284" s="113"/>
      <c r="G284" s="113"/>
      <c r="H284" s="144"/>
      <c r="I284" s="113"/>
      <c r="J284" s="113"/>
      <c r="K284" s="114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  <c r="AL284" s="114"/>
    </row>
    <row r="285" ht="18.0" customHeight="1">
      <c r="A285" s="113"/>
      <c r="B285" s="113"/>
      <c r="C285" s="113"/>
      <c r="D285" s="113"/>
      <c r="E285" s="113"/>
      <c r="F285" s="113"/>
      <c r="G285" s="113"/>
      <c r="H285" s="144"/>
      <c r="I285" s="113"/>
      <c r="J285" s="113"/>
      <c r="K285" s="114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  <c r="AL285" s="114"/>
    </row>
    <row r="286" ht="18.0" customHeight="1">
      <c r="A286" s="113"/>
      <c r="B286" s="113"/>
      <c r="C286" s="113"/>
      <c r="D286" s="113"/>
      <c r="E286" s="113"/>
      <c r="F286" s="113"/>
      <c r="G286" s="113"/>
      <c r="H286" s="144"/>
      <c r="I286" s="113"/>
      <c r="J286" s="113"/>
      <c r="K286" s="114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  <c r="AL286" s="114"/>
    </row>
    <row r="287" ht="18.0" customHeight="1">
      <c r="A287" s="113"/>
      <c r="B287" s="113"/>
      <c r="C287" s="113"/>
      <c r="D287" s="113"/>
      <c r="E287" s="113"/>
      <c r="F287" s="113"/>
      <c r="G287" s="113"/>
      <c r="H287" s="144"/>
      <c r="I287" s="113"/>
      <c r="J287" s="113"/>
      <c r="K287" s="114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3"/>
      <c r="AL287" s="114"/>
    </row>
    <row r="288" ht="18.0" customHeight="1">
      <c r="A288" s="113"/>
      <c r="B288" s="113"/>
      <c r="C288" s="113"/>
      <c r="D288" s="113"/>
      <c r="E288" s="113"/>
      <c r="F288" s="113"/>
      <c r="G288" s="113"/>
      <c r="H288" s="144"/>
      <c r="I288" s="113"/>
      <c r="J288" s="113"/>
      <c r="K288" s="114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  <c r="AL288" s="114"/>
    </row>
    <row r="289" ht="18.0" customHeight="1">
      <c r="A289" s="113"/>
      <c r="B289" s="113"/>
      <c r="C289" s="113"/>
      <c r="D289" s="113"/>
      <c r="E289" s="113"/>
      <c r="F289" s="113"/>
      <c r="G289" s="113"/>
      <c r="H289" s="144"/>
      <c r="I289" s="113"/>
      <c r="J289" s="113"/>
      <c r="K289" s="114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4"/>
    </row>
    <row r="290" ht="18.0" customHeight="1">
      <c r="A290" s="113"/>
      <c r="B290" s="113"/>
      <c r="C290" s="113"/>
      <c r="D290" s="113"/>
      <c r="E290" s="113"/>
      <c r="F290" s="113"/>
      <c r="G290" s="113"/>
      <c r="H290" s="144"/>
      <c r="I290" s="113"/>
      <c r="J290" s="113"/>
      <c r="K290" s="114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  <c r="AL290" s="114"/>
    </row>
    <row r="291" ht="18.0" customHeight="1">
      <c r="A291" s="113"/>
      <c r="B291" s="113"/>
      <c r="C291" s="113"/>
      <c r="D291" s="113"/>
      <c r="E291" s="113"/>
      <c r="F291" s="113"/>
      <c r="G291" s="113"/>
      <c r="H291" s="144"/>
      <c r="I291" s="113"/>
      <c r="J291" s="113"/>
      <c r="K291" s="114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4"/>
    </row>
    <row r="292" ht="18.0" customHeight="1">
      <c r="A292" s="113"/>
      <c r="B292" s="113"/>
      <c r="C292" s="113"/>
      <c r="D292" s="113"/>
      <c r="E292" s="113"/>
      <c r="F292" s="113"/>
      <c r="G292" s="113"/>
      <c r="H292" s="144"/>
      <c r="I292" s="113"/>
      <c r="J292" s="113"/>
      <c r="K292" s="114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  <c r="AL292" s="114"/>
    </row>
    <row r="293" ht="18.0" customHeight="1">
      <c r="A293" s="113"/>
      <c r="B293" s="113"/>
      <c r="C293" s="113"/>
      <c r="D293" s="113"/>
      <c r="E293" s="113"/>
      <c r="F293" s="113"/>
      <c r="G293" s="113"/>
      <c r="H293" s="144"/>
      <c r="I293" s="113"/>
      <c r="J293" s="113"/>
      <c r="K293" s="114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  <c r="AL293" s="114"/>
    </row>
    <row r="294" ht="18.0" customHeight="1">
      <c r="A294" s="113"/>
      <c r="B294" s="113"/>
      <c r="C294" s="113"/>
      <c r="D294" s="113"/>
      <c r="E294" s="113"/>
      <c r="F294" s="113"/>
      <c r="G294" s="113"/>
      <c r="H294" s="144"/>
      <c r="I294" s="113"/>
      <c r="J294" s="113"/>
      <c r="K294" s="114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4"/>
    </row>
    <row r="295" ht="18.0" customHeight="1">
      <c r="A295" s="113"/>
      <c r="B295" s="113"/>
      <c r="C295" s="113"/>
      <c r="D295" s="113"/>
      <c r="E295" s="113"/>
      <c r="F295" s="113"/>
      <c r="G295" s="113"/>
      <c r="H295" s="144"/>
      <c r="I295" s="113"/>
      <c r="J295" s="113"/>
      <c r="K295" s="114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4"/>
    </row>
    <row r="296" ht="18.0" customHeight="1">
      <c r="A296" s="113"/>
      <c r="B296" s="113"/>
      <c r="C296" s="113"/>
      <c r="D296" s="113"/>
      <c r="E296" s="113"/>
      <c r="F296" s="113"/>
      <c r="G296" s="113"/>
      <c r="H296" s="144"/>
      <c r="I296" s="113"/>
      <c r="J296" s="113"/>
      <c r="K296" s="114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3"/>
      <c r="AL296" s="114"/>
    </row>
    <row r="297" ht="18.0" customHeight="1">
      <c r="A297" s="113"/>
      <c r="B297" s="113"/>
      <c r="C297" s="113"/>
      <c r="D297" s="113"/>
      <c r="E297" s="113"/>
      <c r="F297" s="113"/>
      <c r="G297" s="113"/>
      <c r="H297" s="144"/>
      <c r="I297" s="113"/>
      <c r="J297" s="113"/>
      <c r="K297" s="114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  <c r="AL297" s="114"/>
    </row>
    <row r="298" ht="18.0" customHeight="1">
      <c r="A298" s="113"/>
      <c r="B298" s="113"/>
      <c r="C298" s="113"/>
      <c r="D298" s="113"/>
      <c r="E298" s="113"/>
      <c r="F298" s="113"/>
      <c r="G298" s="113"/>
      <c r="H298" s="144"/>
      <c r="I298" s="113"/>
      <c r="J298" s="113"/>
      <c r="K298" s="114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4"/>
    </row>
    <row r="299" ht="18.0" customHeight="1">
      <c r="A299" s="113"/>
      <c r="B299" s="113"/>
      <c r="C299" s="113"/>
      <c r="D299" s="113"/>
      <c r="E299" s="113"/>
      <c r="F299" s="113"/>
      <c r="G299" s="113"/>
      <c r="H299" s="144"/>
      <c r="I299" s="113"/>
      <c r="J299" s="113"/>
      <c r="K299" s="114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  <c r="AL299" s="114"/>
    </row>
    <row r="300" ht="18.0" customHeight="1">
      <c r="A300" s="113"/>
      <c r="B300" s="113"/>
      <c r="C300" s="113"/>
      <c r="D300" s="113"/>
      <c r="E300" s="113"/>
      <c r="F300" s="113"/>
      <c r="G300" s="113"/>
      <c r="H300" s="144"/>
      <c r="I300" s="113"/>
      <c r="J300" s="113"/>
      <c r="K300" s="114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4"/>
    </row>
    <row r="301" ht="18.0" customHeight="1">
      <c r="A301" s="113"/>
      <c r="B301" s="113"/>
      <c r="C301" s="113"/>
      <c r="D301" s="113"/>
      <c r="E301" s="113"/>
      <c r="F301" s="113"/>
      <c r="G301" s="113"/>
      <c r="H301" s="144"/>
      <c r="I301" s="113"/>
      <c r="J301" s="113"/>
      <c r="K301" s="114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  <c r="AL301" s="114"/>
    </row>
    <row r="302" ht="18.0" customHeight="1">
      <c r="A302" s="113"/>
      <c r="B302" s="113"/>
      <c r="C302" s="113"/>
      <c r="D302" s="113"/>
      <c r="E302" s="113"/>
      <c r="F302" s="113"/>
      <c r="G302" s="113"/>
      <c r="H302" s="144"/>
      <c r="I302" s="113"/>
      <c r="J302" s="113"/>
      <c r="K302" s="114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  <c r="AL302" s="114"/>
    </row>
    <row r="303" ht="18.0" customHeight="1">
      <c r="A303" s="113"/>
      <c r="B303" s="113"/>
      <c r="C303" s="113"/>
      <c r="D303" s="113"/>
      <c r="E303" s="113"/>
      <c r="F303" s="113"/>
      <c r="G303" s="113"/>
      <c r="H303" s="144"/>
      <c r="I303" s="113"/>
      <c r="J303" s="113"/>
      <c r="K303" s="114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4"/>
    </row>
    <row r="304" ht="18.0" customHeight="1">
      <c r="A304" s="113"/>
      <c r="B304" s="113"/>
      <c r="C304" s="113"/>
      <c r="D304" s="113"/>
      <c r="E304" s="113"/>
      <c r="F304" s="113"/>
      <c r="G304" s="113"/>
      <c r="H304" s="144"/>
      <c r="I304" s="113"/>
      <c r="J304" s="113"/>
      <c r="K304" s="114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4"/>
    </row>
    <row r="305" ht="18.0" customHeight="1">
      <c r="A305" s="113"/>
      <c r="B305" s="113"/>
      <c r="C305" s="113"/>
      <c r="D305" s="113"/>
      <c r="E305" s="113"/>
      <c r="F305" s="113"/>
      <c r="G305" s="113"/>
      <c r="H305" s="144"/>
      <c r="I305" s="113"/>
      <c r="J305" s="113"/>
      <c r="K305" s="114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  <c r="AL305" s="114"/>
    </row>
    <row r="306" ht="18.0" customHeight="1">
      <c r="A306" s="113"/>
      <c r="B306" s="113"/>
      <c r="C306" s="113"/>
      <c r="D306" s="113"/>
      <c r="E306" s="113"/>
      <c r="F306" s="113"/>
      <c r="G306" s="113"/>
      <c r="H306" s="144"/>
      <c r="I306" s="113"/>
      <c r="J306" s="113"/>
      <c r="K306" s="114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  <c r="AL306" s="114"/>
    </row>
    <row r="307" ht="18.0" customHeight="1">
      <c r="A307" s="113"/>
      <c r="B307" s="113"/>
      <c r="C307" s="113"/>
      <c r="D307" s="113"/>
      <c r="E307" s="113"/>
      <c r="F307" s="113"/>
      <c r="G307" s="113"/>
      <c r="H307" s="144"/>
      <c r="I307" s="113"/>
      <c r="J307" s="113"/>
      <c r="K307" s="114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4"/>
    </row>
    <row r="308" ht="18.0" customHeight="1">
      <c r="A308" s="113"/>
      <c r="B308" s="113"/>
      <c r="C308" s="113"/>
      <c r="D308" s="113"/>
      <c r="E308" s="113"/>
      <c r="F308" s="113"/>
      <c r="G308" s="113"/>
      <c r="H308" s="144"/>
      <c r="I308" s="113"/>
      <c r="J308" s="113"/>
      <c r="K308" s="114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4"/>
    </row>
    <row r="309" ht="18.0" customHeight="1">
      <c r="A309" s="113"/>
      <c r="B309" s="113"/>
      <c r="C309" s="113"/>
      <c r="D309" s="113"/>
      <c r="E309" s="113"/>
      <c r="F309" s="113"/>
      <c r="G309" s="113"/>
      <c r="H309" s="144"/>
      <c r="I309" s="113"/>
      <c r="J309" s="113"/>
      <c r="K309" s="114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4"/>
    </row>
    <row r="310" ht="18.0" customHeight="1">
      <c r="A310" s="113"/>
      <c r="B310" s="113"/>
      <c r="C310" s="113"/>
      <c r="D310" s="113"/>
      <c r="E310" s="113"/>
      <c r="F310" s="113"/>
      <c r="G310" s="113"/>
      <c r="H310" s="144"/>
      <c r="I310" s="113"/>
      <c r="J310" s="113"/>
      <c r="K310" s="114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  <c r="AL310" s="114"/>
    </row>
    <row r="311" ht="18.0" customHeight="1">
      <c r="A311" s="113"/>
      <c r="B311" s="113"/>
      <c r="C311" s="113"/>
      <c r="D311" s="113"/>
      <c r="E311" s="113"/>
      <c r="F311" s="113"/>
      <c r="G311" s="113"/>
      <c r="H311" s="144"/>
      <c r="I311" s="113"/>
      <c r="J311" s="113"/>
      <c r="K311" s="114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4"/>
    </row>
    <row r="312" ht="18.0" customHeight="1">
      <c r="A312" s="113"/>
      <c r="B312" s="113"/>
      <c r="C312" s="113"/>
      <c r="D312" s="113"/>
      <c r="E312" s="113"/>
      <c r="F312" s="113"/>
      <c r="G312" s="113"/>
      <c r="H312" s="144"/>
      <c r="I312" s="113"/>
      <c r="J312" s="113"/>
      <c r="K312" s="114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4"/>
    </row>
    <row r="313" ht="18.0" customHeight="1">
      <c r="A313" s="113"/>
      <c r="B313" s="113"/>
      <c r="C313" s="113"/>
      <c r="D313" s="113"/>
      <c r="E313" s="113"/>
      <c r="F313" s="113"/>
      <c r="G313" s="113"/>
      <c r="H313" s="144"/>
      <c r="I313" s="113"/>
      <c r="J313" s="113"/>
      <c r="K313" s="114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  <c r="AL313" s="114"/>
    </row>
    <row r="314" ht="18.0" customHeight="1">
      <c r="A314" s="113"/>
      <c r="B314" s="113"/>
      <c r="C314" s="113"/>
      <c r="D314" s="113"/>
      <c r="E314" s="113"/>
      <c r="F314" s="113"/>
      <c r="G314" s="113"/>
      <c r="H314" s="144"/>
      <c r="I314" s="113"/>
      <c r="J314" s="113"/>
      <c r="K314" s="114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  <c r="AL314" s="114"/>
    </row>
    <row r="315" ht="18.0" customHeight="1">
      <c r="A315" s="113"/>
      <c r="B315" s="113"/>
      <c r="C315" s="113"/>
      <c r="D315" s="113"/>
      <c r="E315" s="113"/>
      <c r="F315" s="113"/>
      <c r="G315" s="113"/>
      <c r="H315" s="144"/>
      <c r="I315" s="113"/>
      <c r="J315" s="113"/>
      <c r="K315" s="114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  <c r="AL315" s="114"/>
    </row>
    <row r="316" ht="18.0" customHeight="1">
      <c r="A316" s="113"/>
      <c r="B316" s="113"/>
      <c r="C316" s="113"/>
      <c r="D316" s="113"/>
      <c r="E316" s="113"/>
      <c r="F316" s="113"/>
      <c r="G316" s="113"/>
      <c r="H316" s="144"/>
      <c r="I316" s="113"/>
      <c r="J316" s="113"/>
      <c r="K316" s="114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4"/>
    </row>
    <row r="317" ht="18.0" customHeight="1">
      <c r="A317" s="113"/>
      <c r="B317" s="113"/>
      <c r="C317" s="113"/>
      <c r="D317" s="113"/>
      <c r="E317" s="113"/>
      <c r="F317" s="113"/>
      <c r="G317" s="113"/>
      <c r="H317" s="144"/>
      <c r="I317" s="113"/>
      <c r="J317" s="113"/>
      <c r="K317" s="114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4"/>
    </row>
    <row r="318" ht="18.0" customHeight="1">
      <c r="A318" s="113"/>
      <c r="B318" s="113"/>
      <c r="C318" s="113"/>
      <c r="D318" s="113"/>
      <c r="E318" s="113"/>
      <c r="F318" s="113"/>
      <c r="G318" s="113"/>
      <c r="H318" s="144"/>
      <c r="I318" s="113"/>
      <c r="J318" s="113"/>
      <c r="K318" s="114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4"/>
    </row>
    <row r="319" ht="18.0" customHeight="1">
      <c r="A319" s="113"/>
      <c r="B319" s="113"/>
      <c r="C319" s="113"/>
      <c r="D319" s="113"/>
      <c r="E319" s="113"/>
      <c r="F319" s="113"/>
      <c r="G319" s="113"/>
      <c r="H319" s="144"/>
      <c r="I319" s="113"/>
      <c r="J319" s="113"/>
      <c r="K319" s="114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4"/>
    </row>
    <row r="320" ht="18.0" customHeight="1">
      <c r="A320" s="113"/>
      <c r="B320" s="113"/>
      <c r="C320" s="113"/>
      <c r="D320" s="113"/>
      <c r="E320" s="113"/>
      <c r="F320" s="113"/>
      <c r="G320" s="113"/>
      <c r="H320" s="144"/>
      <c r="I320" s="113"/>
      <c r="J320" s="113"/>
      <c r="K320" s="114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  <c r="AL320" s="114"/>
    </row>
    <row r="321" ht="18.0" customHeight="1">
      <c r="A321" s="113"/>
      <c r="B321" s="113"/>
      <c r="C321" s="113"/>
      <c r="D321" s="113"/>
      <c r="E321" s="113"/>
      <c r="F321" s="113"/>
      <c r="G321" s="113"/>
      <c r="H321" s="144"/>
      <c r="I321" s="113"/>
      <c r="J321" s="113"/>
      <c r="K321" s="114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  <c r="AL321" s="114"/>
    </row>
    <row r="322" ht="18.0" customHeight="1">
      <c r="A322" s="113"/>
      <c r="B322" s="113"/>
      <c r="C322" s="113"/>
      <c r="D322" s="113"/>
      <c r="E322" s="113"/>
      <c r="F322" s="113"/>
      <c r="G322" s="113"/>
      <c r="H322" s="144"/>
      <c r="I322" s="113"/>
      <c r="J322" s="113"/>
      <c r="K322" s="114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4"/>
    </row>
    <row r="323" ht="18.0" customHeight="1">
      <c r="A323" s="113"/>
      <c r="B323" s="113"/>
      <c r="C323" s="113"/>
      <c r="D323" s="113"/>
      <c r="E323" s="113"/>
      <c r="F323" s="113"/>
      <c r="G323" s="113"/>
      <c r="H323" s="144"/>
      <c r="I323" s="113"/>
      <c r="J323" s="113"/>
      <c r="K323" s="114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  <c r="AL323" s="114"/>
    </row>
    <row r="324" ht="18.0" customHeight="1">
      <c r="A324" s="113"/>
      <c r="B324" s="113"/>
      <c r="C324" s="113"/>
      <c r="D324" s="113"/>
      <c r="E324" s="113"/>
      <c r="F324" s="113"/>
      <c r="G324" s="113"/>
      <c r="H324" s="144"/>
      <c r="I324" s="113"/>
      <c r="J324" s="113"/>
      <c r="K324" s="114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4"/>
    </row>
    <row r="325" ht="18.0" customHeight="1">
      <c r="A325" s="113"/>
      <c r="B325" s="113"/>
      <c r="C325" s="113"/>
      <c r="D325" s="113"/>
      <c r="E325" s="113"/>
      <c r="F325" s="113"/>
      <c r="G325" s="113"/>
      <c r="H325" s="144"/>
      <c r="I325" s="113"/>
      <c r="J325" s="113"/>
      <c r="K325" s="114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4"/>
    </row>
    <row r="326" ht="18.0" customHeight="1">
      <c r="A326" s="113"/>
      <c r="B326" s="113"/>
      <c r="C326" s="113"/>
      <c r="D326" s="113"/>
      <c r="E326" s="113"/>
      <c r="F326" s="113"/>
      <c r="G326" s="113"/>
      <c r="H326" s="144"/>
      <c r="I326" s="113"/>
      <c r="J326" s="113"/>
      <c r="K326" s="114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4"/>
    </row>
    <row r="327" ht="18.0" customHeight="1">
      <c r="A327" s="113"/>
      <c r="B327" s="113"/>
      <c r="C327" s="113"/>
      <c r="D327" s="113"/>
      <c r="E327" s="113"/>
      <c r="F327" s="113"/>
      <c r="G327" s="113"/>
      <c r="H327" s="144"/>
      <c r="I327" s="113"/>
      <c r="J327" s="113"/>
      <c r="K327" s="114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4"/>
    </row>
    <row r="328" ht="18.0" customHeight="1">
      <c r="A328" s="113"/>
      <c r="B328" s="113"/>
      <c r="C328" s="113"/>
      <c r="D328" s="113"/>
      <c r="E328" s="113"/>
      <c r="F328" s="113"/>
      <c r="G328" s="113"/>
      <c r="H328" s="144"/>
      <c r="I328" s="113"/>
      <c r="J328" s="113"/>
      <c r="K328" s="114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4"/>
    </row>
    <row r="329" ht="18.0" customHeight="1">
      <c r="A329" s="113"/>
      <c r="B329" s="113"/>
      <c r="C329" s="113"/>
      <c r="D329" s="113"/>
      <c r="E329" s="113"/>
      <c r="F329" s="113"/>
      <c r="G329" s="113"/>
      <c r="H329" s="144"/>
      <c r="I329" s="113"/>
      <c r="J329" s="113"/>
      <c r="K329" s="114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4"/>
    </row>
    <row r="330" ht="18.0" customHeight="1">
      <c r="A330" s="113"/>
      <c r="B330" s="113"/>
      <c r="C330" s="113"/>
      <c r="D330" s="113"/>
      <c r="E330" s="113"/>
      <c r="F330" s="113"/>
      <c r="G330" s="113"/>
      <c r="H330" s="144"/>
      <c r="I330" s="113"/>
      <c r="J330" s="113"/>
      <c r="K330" s="114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4"/>
    </row>
    <row r="331" ht="18.0" customHeight="1">
      <c r="A331" s="113"/>
      <c r="B331" s="113"/>
      <c r="C331" s="113"/>
      <c r="D331" s="113"/>
      <c r="E331" s="113"/>
      <c r="F331" s="113"/>
      <c r="G331" s="113"/>
      <c r="H331" s="144"/>
      <c r="I331" s="113"/>
      <c r="J331" s="113"/>
      <c r="K331" s="114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4"/>
    </row>
    <row r="332" ht="18.0" customHeight="1">
      <c r="A332" s="113"/>
      <c r="B332" s="113"/>
      <c r="C332" s="113"/>
      <c r="D332" s="113"/>
      <c r="E332" s="113"/>
      <c r="F332" s="113"/>
      <c r="G332" s="113"/>
      <c r="H332" s="144"/>
      <c r="I332" s="113"/>
      <c r="J332" s="113"/>
      <c r="K332" s="114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4"/>
    </row>
    <row r="333" ht="18.0" customHeight="1">
      <c r="A333" s="113"/>
      <c r="B333" s="113"/>
      <c r="C333" s="113"/>
      <c r="D333" s="113"/>
      <c r="E333" s="113"/>
      <c r="F333" s="113"/>
      <c r="G333" s="113"/>
      <c r="H333" s="144"/>
      <c r="I333" s="113"/>
      <c r="J333" s="113"/>
      <c r="K333" s="114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4"/>
    </row>
    <row r="334" ht="18.0" customHeight="1">
      <c r="A334" s="113"/>
      <c r="B334" s="113"/>
      <c r="C334" s="113"/>
      <c r="D334" s="113"/>
      <c r="E334" s="113"/>
      <c r="F334" s="113"/>
      <c r="G334" s="113"/>
      <c r="H334" s="144"/>
      <c r="I334" s="113"/>
      <c r="J334" s="113"/>
      <c r="K334" s="114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  <c r="AL334" s="114"/>
    </row>
    <row r="335" ht="18.0" customHeight="1">
      <c r="A335" s="113"/>
      <c r="B335" s="113"/>
      <c r="C335" s="113"/>
      <c r="D335" s="113"/>
      <c r="E335" s="113"/>
      <c r="F335" s="113"/>
      <c r="G335" s="113"/>
      <c r="H335" s="144"/>
      <c r="I335" s="113"/>
      <c r="J335" s="113"/>
      <c r="K335" s="114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3"/>
      <c r="AL335" s="114"/>
    </row>
    <row r="336" ht="18.0" customHeight="1">
      <c r="A336" s="113"/>
      <c r="B336" s="113"/>
      <c r="C336" s="113"/>
      <c r="D336" s="113"/>
      <c r="E336" s="113"/>
      <c r="F336" s="113"/>
      <c r="G336" s="113"/>
      <c r="H336" s="144"/>
      <c r="I336" s="113"/>
      <c r="J336" s="113"/>
      <c r="K336" s="114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3"/>
      <c r="AL336" s="114"/>
    </row>
    <row r="337" ht="18.0" customHeight="1">
      <c r="A337" s="113"/>
      <c r="B337" s="113"/>
      <c r="C337" s="113"/>
      <c r="D337" s="113"/>
      <c r="E337" s="113"/>
      <c r="F337" s="113"/>
      <c r="G337" s="113"/>
      <c r="H337" s="144"/>
      <c r="I337" s="113"/>
      <c r="J337" s="113"/>
      <c r="K337" s="114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4"/>
    </row>
    <row r="338" ht="18.0" customHeight="1">
      <c r="A338" s="113"/>
      <c r="B338" s="113"/>
      <c r="C338" s="113"/>
      <c r="D338" s="113"/>
      <c r="E338" s="113"/>
      <c r="F338" s="113"/>
      <c r="G338" s="113"/>
      <c r="H338" s="144"/>
      <c r="I338" s="113"/>
      <c r="J338" s="113"/>
      <c r="K338" s="114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  <c r="AL338" s="114"/>
    </row>
    <row r="339" ht="18.0" customHeight="1">
      <c r="A339" s="113"/>
      <c r="B339" s="113"/>
      <c r="C339" s="113"/>
      <c r="D339" s="113"/>
      <c r="E339" s="113"/>
      <c r="F339" s="113"/>
      <c r="G339" s="113"/>
      <c r="H339" s="144"/>
      <c r="I339" s="113"/>
      <c r="J339" s="113"/>
      <c r="K339" s="114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  <c r="AL339" s="114"/>
    </row>
    <row r="340" ht="18.0" customHeight="1">
      <c r="A340" s="113"/>
      <c r="B340" s="113"/>
      <c r="C340" s="113"/>
      <c r="D340" s="113"/>
      <c r="E340" s="113"/>
      <c r="F340" s="113"/>
      <c r="G340" s="113"/>
      <c r="H340" s="144"/>
      <c r="I340" s="113"/>
      <c r="J340" s="113"/>
      <c r="K340" s="114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  <c r="AL340" s="114"/>
    </row>
    <row r="341" ht="18.0" customHeight="1">
      <c r="A341" s="113"/>
      <c r="B341" s="113"/>
      <c r="C341" s="113"/>
      <c r="D341" s="113"/>
      <c r="E341" s="113"/>
      <c r="F341" s="113"/>
      <c r="G341" s="113"/>
      <c r="H341" s="144"/>
      <c r="I341" s="113"/>
      <c r="J341" s="113"/>
      <c r="K341" s="114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3"/>
      <c r="AL341" s="114"/>
    </row>
    <row r="342" ht="18.0" customHeight="1">
      <c r="A342" s="113"/>
      <c r="B342" s="113"/>
      <c r="C342" s="113"/>
      <c r="D342" s="113"/>
      <c r="E342" s="113"/>
      <c r="F342" s="113"/>
      <c r="G342" s="113"/>
      <c r="H342" s="144"/>
      <c r="I342" s="113"/>
      <c r="J342" s="113"/>
      <c r="K342" s="114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  <c r="AL342" s="114"/>
    </row>
    <row r="343" ht="18.0" customHeight="1">
      <c r="A343" s="113"/>
      <c r="B343" s="113"/>
      <c r="C343" s="113"/>
      <c r="D343" s="113"/>
      <c r="E343" s="113"/>
      <c r="F343" s="113"/>
      <c r="G343" s="113"/>
      <c r="H343" s="144"/>
      <c r="I343" s="113"/>
      <c r="J343" s="113"/>
      <c r="K343" s="114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4"/>
    </row>
    <row r="344" ht="18.0" customHeight="1">
      <c r="A344" s="113"/>
      <c r="B344" s="113"/>
      <c r="C344" s="113"/>
      <c r="D344" s="113"/>
      <c r="E344" s="113"/>
      <c r="F344" s="113"/>
      <c r="G344" s="113"/>
      <c r="H344" s="144"/>
      <c r="I344" s="113"/>
      <c r="J344" s="113"/>
      <c r="K344" s="114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  <c r="AL344" s="114"/>
    </row>
    <row r="345" ht="18.0" customHeight="1">
      <c r="A345" s="113"/>
      <c r="B345" s="113"/>
      <c r="C345" s="113"/>
      <c r="D345" s="113"/>
      <c r="E345" s="113"/>
      <c r="F345" s="113"/>
      <c r="G345" s="113"/>
      <c r="H345" s="144"/>
      <c r="I345" s="113"/>
      <c r="J345" s="113"/>
      <c r="K345" s="114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  <c r="AL345" s="114"/>
    </row>
    <row r="346" ht="18.0" customHeight="1">
      <c r="A346" s="113"/>
      <c r="B346" s="113"/>
      <c r="C346" s="113"/>
      <c r="D346" s="113"/>
      <c r="E346" s="113"/>
      <c r="F346" s="113"/>
      <c r="G346" s="113"/>
      <c r="H346" s="144"/>
      <c r="I346" s="113"/>
      <c r="J346" s="113"/>
      <c r="K346" s="114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  <c r="AL346" s="114"/>
    </row>
    <row r="347" ht="18.0" customHeight="1">
      <c r="A347" s="113"/>
      <c r="B347" s="113"/>
      <c r="C347" s="113"/>
      <c r="D347" s="113"/>
      <c r="E347" s="113"/>
      <c r="F347" s="113"/>
      <c r="G347" s="113"/>
      <c r="H347" s="144"/>
      <c r="I347" s="113"/>
      <c r="J347" s="113"/>
      <c r="K347" s="114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  <c r="AL347" s="114"/>
    </row>
    <row r="348" ht="18.0" customHeight="1">
      <c r="A348" s="113"/>
      <c r="B348" s="113"/>
      <c r="C348" s="113"/>
      <c r="D348" s="113"/>
      <c r="E348" s="113"/>
      <c r="F348" s="113"/>
      <c r="G348" s="113"/>
      <c r="H348" s="144"/>
      <c r="I348" s="113"/>
      <c r="J348" s="113"/>
      <c r="K348" s="114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4"/>
    </row>
    <row r="349" ht="18.0" customHeight="1">
      <c r="A349" s="113"/>
      <c r="B349" s="113"/>
      <c r="C349" s="113"/>
      <c r="D349" s="113"/>
      <c r="E349" s="113"/>
      <c r="F349" s="113"/>
      <c r="G349" s="113"/>
      <c r="H349" s="144"/>
      <c r="I349" s="113"/>
      <c r="J349" s="113"/>
      <c r="K349" s="114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  <c r="AL349" s="114"/>
    </row>
    <row r="350" ht="18.0" customHeight="1">
      <c r="A350" s="113"/>
      <c r="B350" s="113"/>
      <c r="C350" s="113"/>
      <c r="D350" s="113"/>
      <c r="E350" s="113"/>
      <c r="F350" s="113"/>
      <c r="G350" s="113"/>
      <c r="H350" s="144"/>
      <c r="I350" s="113"/>
      <c r="J350" s="113"/>
      <c r="K350" s="114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  <c r="AL350" s="114"/>
    </row>
    <row r="351" ht="18.0" customHeight="1">
      <c r="A351" s="113"/>
      <c r="B351" s="113"/>
      <c r="C351" s="113"/>
      <c r="D351" s="113"/>
      <c r="E351" s="113"/>
      <c r="F351" s="113"/>
      <c r="G351" s="113"/>
      <c r="H351" s="144"/>
      <c r="I351" s="113"/>
      <c r="J351" s="113"/>
      <c r="K351" s="114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  <c r="AL351" s="114"/>
    </row>
    <row r="352" ht="18.0" customHeight="1">
      <c r="A352" s="113"/>
      <c r="B352" s="113"/>
      <c r="C352" s="113"/>
      <c r="D352" s="113"/>
      <c r="E352" s="113"/>
      <c r="F352" s="113"/>
      <c r="G352" s="113"/>
      <c r="H352" s="144"/>
      <c r="I352" s="113"/>
      <c r="J352" s="113"/>
      <c r="K352" s="114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3"/>
      <c r="AL352" s="114"/>
    </row>
    <row r="353" ht="18.0" customHeight="1">
      <c r="A353" s="113"/>
      <c r="B353" s="113"/>
      <c r="C353" s="113"/>
      <c r="D353" s="113"/>
      <c r="E353" s="113"/>
      <c r="F353" s="113"/>
      <c r="G353" s="113"/>
      <c r="H353" s="144"/>
      <c r="I353" s="113"/>
      <c r="J353" s="113"/>
      <c r="K353" s="114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  <c r="AL353" s="114"/>
    </row>
    <row r="354" ht="18.0" customHeight="1">
      <c r="A354" s="113"/>
      <c r="B354" s="113"/>
      <c r="C354" s="113"/>
      <c r="D354" s="113"/>
      <c r="E354" s="113"/>
      <c r="F354" s="113"/>
      <c r="G354" s="113"/>
      <c r="H354" s="144"/>
      <c r="I354" s="113"/>
      <c r="J354" s="113"/>
      <c r="K354" s="114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4"/>
    </row>
    <row r="355" ht="18.0" customHeight="1">
      <c r="A355" s="113"/>
      <c r="B355" s="113"/>
      <c r="C355" s="113"/>
      <c r="D355" s="113"/>
      <c r="E355" s="113"/>
      <c r="F355" s="113"/>
      <c r="G355" s="113"/>
      <c r="H355" s="144"/>
      <c r="I355" s="113"/>
      <c r="J355" s="113"/>
      <c r="K355" s="114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4"/>
    </row>
    <row r="356" ht="18.0" customHeight="1">
      <c r="A356" s="113"/>
      <c r="B356" s="113"/>
      <c r="C356" s="113"/>
      <c r="D356" s="113"/>
      <c r="E356" s="113"/>
      <c r="F356" s="113"/>
      <c r="G356" s="113"/>
      <c r="H356" s="144"/>
      <c r="I356" s="113"/>
      <c r="J356" s="113"/>
      <c r="K356" s="114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  <c r="AL356" s="114"/>
    </row>
    <row r="357" ht="18.0" customHeight="1">
      <c r="A357" s="113"/>
      <c r="B357" s="113"/>
      <c r="C357" s="113"/>
      <c r="D357" s="113"/>
      <c r="E357" s="113"/>
      <c r="F357" s="113"/>
      <c r="G357" s="113"/>
      <c r="H357" s="144"/>
      <c r="I357" s="113"/>
      <c r="J357" s="113"/>
      <c r="K357" s="114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4"/>
    </row>
    <row r="358" ht="18.0" customHeight="1">
      <c r="A358" s="113"/>
      <c r="B358" s="113"/>
      <c r="C358" s="113"/>
      <c r="D358" s="113"/>
      <c r="E358" s="113"/>
      <c r="F358" s="113"/>
      <c r="G358" s="113"/>
      <c r="H358" s="144"/>
      <c r="I358" s="113"/>
      <c r="J358" s="113"/>
      <c r="K358" s="114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4"/>
    </row>
    <row r="359" ht="18.0" customHeight="1">
      <c r="A359" s="113"/>
      <c r="B359" s="113"/>
      <c r="C359" s="113"/>
      <c r="D359" s="113"/>
      <c r="E359" s="113"/>
      <c r="F359" s="113"/>
      <c r="G359" s="113"/>
      <c r="H359" s="144"/>
      <c r="I359" s="113"/>
      <c r="J359" s="113"/>
      <c r="K359" s="114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4"/>
    </row>
    <row r="360" ht="18.0" customHeight="1">
      <c r="A360" s="113"/>
      <c r="B360" s="113"/>
      <c r="C360" s="113"/>
      <c r="D360" s="113"/>
      <c r="E360" s="113"/>
      <c r="F360" s="113"/>
      <c r="G360" s="113"/>
      <c r="H360" s="144"/>
      <c r="I360" s="113"/>
      <c r="J360" s="113"/>
      <c r="K360" s="114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  <c r="AL360" s="114"/>
    </row>
    <row r="361" ht="18.0" customHeight="1">
      <c r="A361" s="113"/>
      <c r="B361" s="113"/>
      <c r="C361" s="113"/>
      <c r="D361" s="113"/>
      <c r="E361" s="113"/>
      <c r="F361" s="113"/>
      <c r="G361" s="113"/>
      <c r="H361" s="144"/>
      <c r="I361" s="113"/>
      <c r="J361" s="113"/>
      <c r="K361" s="114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  <c r="AL361" s="114"/>
    </row>
    <row r="362" ht="18.0" customHeight="1">
      <c r="A362" s="113"/>
      <c r="B362" s="113"/>
      <c r="C362" s="113"/>
      <c r="D362" s="113"/>
      <c r="E362" s="113"/>
      <c r="F362" s="113"/>
      <c r="G362" s="113"/>
      <c r="H362" s="144"/>
      <c r="I362" s="113"/>
      <c r="J362" s="113"/>
      <c r="K362" s="114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  <c r="AL362" s="114"/>
    </row>
    <row r="363" ht="18.0" customHeight="1">
      <c r="A363" s="113"/>
      <c r="B363" s="113"/>
      <c r="C363" s="113"/>
      <c r="D363" s="113"/>
      <c r="E363" s="113"/>
      <c r="F363" s="113"/>
      <c r="G363" s="113"/>
      <c r="H363" s="144"/>
      <c r="I363" s="113"/>
      <c r="J363" s="113"/>
      <c r="K363" s="114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  <c r="AL363" s="114"/>
    </row>
    <row r="364" ht="18.0" customHeight="1">
      <c r="A364" s="113"/>
      <c r="B364" s="113"/>
      <c r="C364" s="113"/>
      <c r="D364" s="113"/>
      <c r="E364" s="113"/>
      <c r="F364" s="113"/>
      <c r="G364" s="113"/>
      <c r="H364" s="144"/>
      <c r="I364" s="113"/>
      <c r="J364" s="113"/>
      <c r="K364" s="114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3"/>
      <c r="AL364" s="114"/>
    </row>
    <row r="365" ht="18.0" customHeight="1">
      <c r="A365" s="113"/>
      <c r="B365" s="113"/>
      <c r="C365" s="113"/>
      <c r="D365" s="113"/>
      <c r="E365" s="113"/>
      <c r="F365" s="113"/>
      <c r="G365" s="113"/>
      <c r="H365" s="144"/>
      <c r="I365" s="113"/>
      <c r="J365" s="113"/>
      <c r="K365" s="114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  <c r="AL365" s="114"/>
    </row>
    <row r="366" ht="18.0" customHeight="1">
      <c r="A366" s="113"/>
      <c r="B366" s="113"/>
      <c r="C366" s="113"/>
      <c r="D366" s="113"/>
      <c r="E366" s="113"/>
      <c r="F366" s="113"/>
      <c r="G366" s="113"/>
      <c r="H366" s="144"/>
      <c r="I366" s="113"/>
      <c r="J366" s="113"/>
      <c r="K366" s="114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  <c r="AL366" s="114"/>
    </row>
    <row r="367" ht="18.0" customHeight="1">
      <c r="A367" s="113"/>
      <c r="B367" s="113"/>
      <c r="C367" s="113"/>
      <c r="D367" s="113"/>
      <c r="E367" s="113"/>
      <c r="F367" s="113"/>
      <c r="G367" s="113"/>
      <c r="H367" s="144"/>
      <c r="I367" s="113"/>
      <c r="J367" s="113"/>
      <c r="K367" s="114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  <c r="AL367" s="114"/>
    </row>
    <row r="368" ht="18.0" customHeight="1">
      <c r="A368" s="113"/>
      <c r="B368" s="113"/>
      <c r="C368" s="113"/>
      <c r="D368" s="113"/>
      <c r="E368" s="113"/>
      <c r="F368" s="113"/>
      <c r="G368" s="113"/>
      <c r="H368" s="144"/>
      <c r="I368" s="113"/>
      <c r="J368" s="113"/>
      <c r="K368" s="114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3"/>
      <c r="AL368" s="114"/>
    </row>
    <row r="369" ht="18.0" customHeight="1">
      <c r="A369" s="113"/>
      <c r="B369" s="113"/>
      <c r="C369" s="113"/>
      <c r="D369" s="113"/>
      <c r="E369" s="113"/>
      <c r="F369" s="113"/>
      <c r="G369" s="113"/>
      <c r="H369" s="144"/>
      <c r="I369" s="113"/>
      <c r="J369" s="113"/>
      <c r="K369" s="114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  <c r="AL369" s="114"/>
    </row>
    <row r="370" ht="18.0" customHeight="1">
      <c r="A370" s="113"/>
      <c r="B370" s="113"/>
      <c r="C370" s="113"/>
      <c r="D370" s="113"/>
      <c r="E370" s="113"/>
      <c r="F370" s="113"/>
      <c r="G370" s="113"/>
      <c r="H370" s="144"/>
      <c r="I370" s="113"/>
      <c r="J370" s="113"/>
      <c r="K370" s="114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4"/>
    </row>
    <row r="371" ht="18.0" customHeight="1">
      <c r="A371" s="113"/>
      <c r="B371" s="113"/>
      <c r="C371" s="113"/>
      <c r="D371" s="113"/>
      <c r="E371" s="113"/>
      <c r="F371" s="113"/>
      <c r="G371" s="113"/>
      <c r="H371" s="144"/>
      <c r="I371" s="113"/>
      <c r="J371" s="113"/>
      <c r="K371" s="114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4"/>
    </row>
    <row r="372" ht="18.0" customHeight="1">
      <c r="A372" s="113"/>
      <c r="B372" s="113"/>
      <c r="C372" s="113"/>
      <c r="D372" s="113"/>
      <c r="E372" s="113"/>
      <c r="F372" s="113"/>
      <c r="G372" s="113"/>
      <c r="H372" s="144"/>
      <c r="I372" s="113"/>
      <c r="J372" s="113"/>
      <c r="K372" s="114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  <c r="AL372" s="114"/>
    </row>
    <row r="373" ht="18.0" customHeight="1">
      <c r="A373" s="113"/>
      <c r="B373" s="113"/>
      <c r="C373" s="113"/>
      <c r="D373" s="113"/>
      <c r="E373" s="113"/>
      <c r="F373" s="113"/>
      <c r="G373" s="113"/>
      <c r="H373" s="144"/>
      <c r="I373" s="113"/>
      <c r="J373" s="113"/>
      <c r="K373" s="114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4"/>
    </row>
    <row r="374" ht="18.0" customHeight="1">
      <c r="A374" s="113"/>
      <c r="B374" s="113"/>
      <c r="C374" s="113"/>
      <c r="D374" s="113"/>
      <c r="E374" s="113"/>
      <c r="F374" s="113"/>
      <c r="G374" s="113"/>
      <c r="H374" s="144"/>
      <c r="I374" s="113"/>
      <c r="J374" s="113"/>
      <c r="K374" s="114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  <c r="AL374" s="114"/>
    </row>
    <row r="375" ht="18.0" customHeight="1">
      <c r="A375" s="113"/>
      <c r="B375" s="113"/>
      <c r="C375" s="113"/>
      <c r="D375" s="113"/>
      <c r="E375" s="113"/>
      <c r="F375" s="113"/>
      <c r="G375" s="113"/>
      <c r="H375" s="144"/>
      <c r="I375" s="113"/>
      <c r="J375" s="113"/>
      <c r="K375" s="114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3"/>
      <c r="AL375" s="114"/>
    </row>
    <row r="376" ht="18.0" customHeight="1">
      <c r="A376" s="113"/>
      <c r="B376" s="113"/>
      <c r="C376" s="113"/>
      <c r="D376" s="113"/>
      <c r="E376" s="113"/>
      <c r="F376" s="113"/>
      <c r="G376" s="113"/>
      <c r="H376" s="144"/>
      <c r="I376" s="113"/>
      <c r="J376" s="113"/>
      <c r="K376" s="114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3"/>
      <c r="AL376" s="114"/>
    </row>
    <row r="377" ht="18.0" customHeight="1">
      <c r="A377" s="113"/>
      <c r="B377" s="113"/>
      <c r="C377" s="113"/>
      <c r="D377" s="113"/>
      <c r="E377" s="113"/>
      <c r="F377" s="113"/>
      <c r="G377" s="113"/>
      <c r="H377" s="144"/>
      <c r="I377" s="113"/>
      <c r="J377" s="113"/>
      <c r="K377" s="114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3"/>
      <c r="AL377" s="114"/>
    </row>
    <row r="378" ht="18.0" customHeight="1">
      <c r="A378" s="113"/>
      <c r="B378" s="113"/>
      <c r="C378" s="113"/>
      <c r="D378" s="113"/>
      <c r="E378" s="113"/>
      <c r="F378" s="113"/>
      <c r="G378" s="113"/>
      <c r="H378" s="144"/>
      <c r="I378" s="113"/>
      <c r="J378" s="113"/>
      <c r="K378" s="114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4"/>
    </row>
    <row r="379" ht="18.0" customHeight="1">
      <c r="A379" s="113"/>
      <c r="B379" s="113"/>
      <c r="C379" s="113"/>
      <c r="D379" s="113"/>
      <c r="E379" s="113"/>
      <c r="F379" s="113"/>
      <c r="G379" s="113"/>
      <c r="H379" s="144"/>
      <c r="I379" s="113"/>
      <c r="J379" s="113"/>
      <c r="K379" s="114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4"/>
    </row>
    <row r="380" ht="18.0" customHeight="1">
      <c r="A380" s="113"/>
      <c r="B380" s="113"/>
      <c r="C380" s="113"/>
      <c r="D380" s="113"/>
      <c r="E380" s="113"/>
      <c r="F380" s="113"/>
      <c r="G380" s="113"/>
      <c r="H380" s="144"/>
      <c r="I380" s="113"/>
      <c r="J380" s="113"/>
      <c r="K380" s="114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  <c r="AL380" s="114"/>
    </row>
    <row r="381" ht="18.0" customHeight="1">
      <c r="A381" s="113"/>
      <c r="B381" s="113"/>
      <c r="C381" s="113"/>
      <c r="D381" s="113"/>
      <c r="E381" s="113"/>
      <c r="F381" s="113"/>
      <c r="G381" s="113"/>
      <c r="H381" s="144"/>
      <c r="I381" s="113"/>
      <c r="J381" s="113"/>
      <c r="K381" s="114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  <c r="AL381" s="114"/>
    </row>
    <row r="382" ht="18.0" customHeight="1">
      <c r="A382" s="113"/>
      <c r="B382" s="113"/>
      <c r="C382" s="113"/>
      <c r="D382" s="113"/>
      <c r="E382" s="113"/>
      <c r="F382" s="113"/>
      <c r="G382" s="113"/>
      <c r="H382" s="144"/>
      <c r="I382" s="113"/>
      <c r="J382" s="113"/>
      <c r="K382" s="114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  <c r="AL382" s="114"/>
    </row>
    <row r="383" ht="18.0" customHeight="1">
      <c r="A383" s="113"/>
      <c r="B383" s="113"/>
      <c r="C383" s="113"/>
      <c r="D383" s="113"/>
      <c r="E383" s="113"/>
      <c r="F383" s="113"/>
      <c r="G383" s="113"/>
      <c r="H383" s="144"/>
      <c r="I383" s="113"/>
      <c r="J383" s="113"/>
      <c r="K383" s="114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  <c r="AL383" s="114"/>
    </row>
    <row r="384" ht="18.0" customHeight="1">
      <c r="A384" s="113"/>
      <c r="B384" s="113"/>
      <c r="C384" s="113"/>
      <c r="D384" s="113"/>
      <c r="E384" s="113"/>
      <c r="F384" s="113"/>
      <c r="G384" s="113"/>
      <c r="H384" s="144"/>
      <c r="I384" s="113"/>
      <c r="J384" s="113"/>
      <c r="K384" s="114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  <c r="AL384" s="114"/>
    </row>
    <row r="385" ht="18.0" customHeight="1">
      <c r="A385" s="113"/>
      <c r="B385" s="113"/>
      <c r="C385" s="113"/>
      <c r="D385" s="113"/>
      <c r="E385" s="113"/>
      <c r="F385" s="113"/>
      <c r="G385" s="113"/>
      <c r="H385" s="144"/>
      <c r="I385" s="113"/>
      <c r="J385" s="113"/>
      <c r="K385" s="114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  <c r="AL385" s="114"/>
    </row>
    <row r="386" ht="18.0" customHeight="1">
      <c r="A386" s="113"/>
      <c r="B386" s="113"/>
      <c r="C386" s="113"/>
      <c r="D386" s="113"/>
      <c r="E386" s="113"/>
      <c r="F386" s="113"/>
      <c r="G386" s="113"/>
      <c r="H386" s="144"/>
      <c r="I386" s="113"/>
      <c r="J386" s="113"/>
      <c r="K386" s="114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4"/>
    </row>
    <row r="387" ht="18.0" customHeight="1">
      <c r="A387" s="113"/>
      <c r="B387" s="113"/>
      <c r="C387" s="113"/>
      <c r="D387" s="113"/>
      <c r="E387" s="113"/>
      <c r="F387" s="113"/>
      <c r="G387" s="113"/>
      <c r="H387" s="144"/>
      <c r="I387" s="113"/>
      <c r="J387" s="113"/>
      <c r="K387" s="114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4"/>
    </row>
    <row r="388" ht="18.0" customHeight="1">
      <c r="A388" s="113"/>
      <c r="B388" s="113"/>
      <c r="C388" s="113"/>
      <c r="D388" s="113"/>
      <c r="E388" s="113"/>
      <c r="F388" s="113"/>
      <c r="G388" s="113"/>
      <c r="H388" s="144"/>
      <c r="I388" s="113"/>
      <c r="J388" s="113"/>
      <c r="K388" s="114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  <c r="AL388" s="114"/>
    </row>
    <row r="389" ht="18.0" customHeight="1">
      <c r="A389" s="113"/>
      <c r="B389" s="113"/>
      <c r="C389" s="113"/>
      <c r="D389" s="113"/>
      <c r="E389" s="113"/>
      <c r="F389" s="113"/>
      <c r="G389" s="113"/>
      <c r="H389" s="144"/>
      <c r="I389" s="113"/>
      <c r="J389" s="113"/>
      <c r="K389" s="114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4"/>
    </row>
    <row r="390" ht="18.0" customHeight="1">
      <c r="A390" s="113"/>
      <c r="B390" s="113"/>
      <c r="C390" s="113"/>
      <c r="D390" s="113"/>
      <c r="E390" s="113"/>
      <c r="F390" s="113"/>
      <c r="G390" s="113"/>
      <c r="H390" s="144"/>
      <c r="I390" s="113"/>
      <c r="J390" s="113"/>
      <c r="K390" s="114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  <c r="AL390" s="114"/>
    </row>
    <row r="391" ht="18.0" customHeight="1">
      <c r="A391" s="113"/>
      <c r="B391" s="113"/>
      <c r="C391" s="113"/>
      <c r="D391" s="113"/>
      <c r="E391" s="113"/>
      <c r="F391" s="113"/>
      <c r="G391" s="113"/>
      <c r="H391" s="144"/>
      <c r="I391" s="113"/>
      <c r="J391" s="113"/>
      <c r="K391" s="114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  <c r="AL391" s="114"/>
    </row>
    <row r="392" ht="18.0" customHeight="1">
      <c r="A392" s="113"/>
      <c r="B392" s="113"/>
      <c r="C392" s="113"/>
      <c r="D392" s="113"/>
      <c r="E392" s="113"/>
      <c r="F392" s="113"/>
      <c r="G392" s="113"/>
      <c r="H392" s="144"/>
      <c r="I392" s="113"/>
      <c r="J392" s="113"/>
      <c r="K392" s="114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  <c r="AL392" s="114"/>
    </row>
    <row r="393" ht="18.0" customHeight="1">
      <c r="A393" s="113"/>
      <c r="B393" s="113"/>
      <c r="C393" s="113"/>
      <c r="D393" s="113"/>
      <c r="E393" s="113"/>
      <c r="F393" s="113"/>
      <c r="G393" s="113"/>
      <c r="H393" s="144"/>
      <c r="I393" s="113"/>
      <c r="J393" s="113"/>
      <c r="K393" s="114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  <c r="AL393" s="114"/>
    </row>
    <row r="394" ht="18.0" customHeight="1">
      <c r="A394" s="113"/>
      <c r="B394" s="113"/>
      <c r="C394" s="113"/>
      <c r="D394" s="113"/>
      <c r="E394" s="113"/>
      <c r="F394" s="113"/>
      <c r="G394" s="113"/>
      <c r="H394" s="144"/>
      <c r="I394" s="113"/>
      <c r="J394" s="113"/>
      <c r="K394" s="114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3"/>
      <c r="AL394" s="114"/>
    </row>
    <row r="395" ht="18.0" customHeight="1">
      <c r="A395" s="113"/>
      <c r="B395" s="113"/>
      <c r="C395" s="113"/>
      <c r="D395" s="113"/>
      <c r="E395" s="113"/>
      <c r="F395" s="113"/>
      <c r="G395" s="113"/>
      <c r="H395" s="144"/>
      <c r="I395" s="113"/>
      <c r="J395" s="113"/>
      <c r="K395" s="114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  <c r="AL395" s="114"/>
    </row>
    <row r="396" ht="18.0" customHeight="1">
      <c r="A396" s="113"/>
      <c r="B396" s="113"/>
      <c r="C396" s="113"/>
      <c r="D396" s="113"/>
      <c r="E396" s="113"/>
      <c r="F396" s="113"/>
      <c r="G396" s="113"/>
      <c r="H396" s="144"/>
      <c r="I396" s="113"/>
      <c r="J396" s="113"/>
      <c r="K396" s="114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4"/>
    </row>
    <row r="397" ht="18.0" customHeight="1">
      <c r="A397" s="113"/>
      <c r="B397" s="113"/>
      <c r="C397" s="113"/>
      <c r="D397" s="113"/>
      <c r="E397" s="113"/>
      <c r="F397" s="113"/>
      <c r="G397" s="113"/>
      <c r="H397" s="144"/>
      <c r="I397" s="113"/>
      <c r="J397" s="113"/>
      <c r="K397" s="114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4"/>
    </row>
    <row r="398" ht="18.0" customHeight="1">
      <c r="A398" s="113"/>
      <c r="B398" s="113"/>
      <c r="C398" s="113"/>
      <c r="D398" s="113"/>
      <c r="E398" s="113"/>
      <c r="F398" s="113"/>
      <c r="G398" s="113"/>
      <c r="H398" s="144"/>
      <c r="I398" s="113"/>
      <c r="J398" s="113"/>
      <c r="K398" s="114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  <c r="AL398" s="114"/>
    </row>
    <row r="399" ht="18.0" customHeight="1">
      <c r="A399" s="113"/>
      <c r="B399" s="113"/>
      <c r="C399" s="113"/>
      <c r="D399" s="113"/>
      <c r="E399" s="113"/>
      <c r="F399" s="113"/>
      <c r="G399" s="113"/>
      <c r="H399" s="144"/>
      <c r="I399" s="113"/>
      <c r="J399" s="113"/>
      <c r="K399" s="114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4"/>
    </row>
    <row r="400" ht="18.0" customHeight="1">
      <c r="A400" s="113"/>
      <c r="B400" s="113"/>
      <c r="C400" s="113"/>
      <c r="D400" s="113"/>
      <c r="E400" s="113"/>
      <c r="F400" s="113"/>
      <c r="G400" s="113"/>
      <c r="H400" s="144"/>
      <c r="I400" s="113"/>
      <c r="J400" s="113"/>
      <c r="K400" s="114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4"/>
    </row>
    <row r="401" ht="18.0" customHeight="1">
      <c r="A401" s="113"/>
      <c r="B401" s="113"/>
      <c r="C401" s="113"/>
      <c r="D401" s="113"/>
      <c r="E401" s="113"/>
      <c r="F401" s="113"/>
      <c r="G401" s="113"/>
      <c r="H401" s="144"/>
      <c r="I401" s="113"/>
      <c r="J401" s="113"/>
      <c r="K401" s="114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4"/>
    </row>
    <row r="402" ht="18.0" customHeight="1">
      <c r="A402" s="113"/>
      <c r="B402" s="113"/>
      <c r="C402" s="113"/>
      <c r="D402" s="113"/>
      <c r="E402" s="113"/>
      <c r="F402" s="113"/>
      <c r="G402" s="113"/>
      <c r="H402" s="144"/>
      <c r="I402" s="113"/>
      <c r="J402" s="113"/>
      <c r="K402" s="114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4"/>
    </row>
    <row r="403" ht="18.0" customHeight="1">
      <c r="A403" s="113"/>
      <c r="B403" s="113"/>
      <c r="C403" s="113"/>
      <c r="D403" s="113"/>
      <c r="E403" s="113"/>
      <c r="F403" s="113"/>
      <c r="G403" s="113"/>
      <c r="H403" s="144"/>
      <c r="I403" s="113"/>
      <c r="J403" s="113"/>
      <c r="K403" s="114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  <c r="AL403" s="114"/>
    </row>
    <row r="404" ht="18.0" customHeight="1">
      <c r="A404" s="113"/>
      <c r="B404" s="113"/>
      <c r="C404" s="113"/>
      <c r="D404" s="113"/>
      <c r="E404" s="113"/>
      <c r="F404" s="113"/>
      <c r="G404" s="113"/>
      <c r="H404" s="144"/>
      <c r="I404" s="113"/>
      <c r="J404" s="113"/>
      <c r="K404" s="114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  <c r="AL404" s="114"/>
    </row>
    <row r="405" ht="18.0" customHeight="1">
      <c r="A405" s="113"/>
      <c r="B405" s="113"/>
      <c r="C405" s="113"/>
      <c r="D405" s="113"/>
      <c r="E405" s="113"/>
      <c r="F405" s="113"/>
      <c r="G405" s="113"/>
      <c r="H405" s="144"/>
      <c r="I405" s="113"/>
      <c r="J405" s="113"/>
      <c r="K405" s="114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  <c r="AL405" s="114"/>
    </row>
    <row r="406" ht="18.0" customHeight="1">
      <c r="A406" s="113"/>
      <c r="B406" s="113"/>
      <c r="C406" s="113"/>
      <c r="D406" s="113"/>
      <c r="E406" s="113"/>
      <c r="F406" s="113"/>
      <c r="G406" s="113"/>
      <c r="H406" s="144"/>
      <c r="I406" s="113"/>
      <c r="J406" s="113"/>
      <c r="K406" s="114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  <c r="AL406" s="114"/>
    </row>
    <row r="407" ht="18.0" customHeight="1">
      <c r="A407" s="113"/>
      <c r="B407" s="113"/>
      <c r="C407" s="113"/>
      <c r="D407" s="113"/>
      <c r="E407" s="113"/>
      <c r="F407" s="113"/>
      <c r="G407" s="113"/>
      <c r="H407" s="144"/>
      <c r="I407" s="113"/>
      <c r="J407" s="113"/>
      <c r="K407" s="114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  <c r="AL407" s="114"/>
    </row>
    <row r="408" ht="18.0" customHeight="1">
      <c r="A408" s="113"/>
      <c r="B408" s="113"/>
      <c r="C408" s="113"/>
      <c r="D408" s="113"/>
      <c r="E408" s="113"/>
      <c r="F408" s="113"/>
      <c r="G408" s="113"/>
      <c r="H408" s="144"/>
      <c r="I408" s="113"/>
      <c r="J408" s="113"/>
      <c r="K408" s="114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4"/>
    </row>
    <row r="409" ht="18.0" customHeight="1">
      <c r="A409" s="113"/>
      <c r="B409" s="113"/>
      <c r="C409" s="113"/>
      <c r="D409" s="113"/>
      <c r="E409" s="113"/>
      <c r="F409" s="113"/>
      <c r="G409" s="113"/>
      <c r="H409" s="144"/>
      <c r="I409" s="113"/>
      <c r="J409" s="113"/>
      <c r="K409" s="114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4"/>
    </row>
    <row r="410" ht="18.0" customHeight="1">
      <c r="A410" s="113"/>
      <c r="B410" s="113"/>
      <c r="C410" s="113"/>
      <c r="D410" s="113"/>
      <c r="E410" s="113"/>
      <c r="F410" s="113"/>
      <c r="G410" s="113"/>
      <c r="H410" s="144"/>
      <c r="I410" s="113"/>
      <c r="J410" s="113"/>
      <c r="K410" s="114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3"/>
      <c r="AL410" s="114"/>
    </row>
    <row r="411" ht="18.0" customHeight="1">
      <c r="A411" s="113"/>
      <c r="B411" s="113"/>
      <c r="C411" s="113"/>
      <c r="D411" s="113"/>
      <c r="E411" s="113"/>
      <c r="F411" s="113"/>
      <c r="G411" s="113"/>
      <c r="H411" s="144"/>
      <c r="I411" s="113"/>
      <c r="J411" s="113"/>
      <c r="K411" s="114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4"/>
    </row>
    <row r="412" ht="18.0" customHeight="1">
      <c r="A412" s="113"/>
      <c r="B412" s="113"/>
      <c r="C412" s="113"/>
      <c r="D412" s="113"/>
      <c r="E412" s="113"/>
      <c r="F412" s="113"/>
      <c r="G412" s="113"/>
      <c r="H412" s="144"/>
      <c r="I412" s="113"/>
      <c r="J412" s="113"/>
      <c r="K412" s="114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4"/>
    </row>
    <row r="413" ht="18.0" customHeight="1">
      <c r="A413" s="113"/>
      <c r="B413" s="113"/>
      <c r="C413" s="113"/>
      <c r="D413" s="113"/>
      <c r="E413" s="113"/>
      <c r="F413" s="113"/>
      <c r="G413" s="113"/>
      <c r="H413" s="144"/>
      <c r="I413" s="113"/>
      <c r="J413" s="113"/>
      <c r="K413" s="114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4"/>
    </row>
    <row r="414" ht="18.0" customHeight="1">
      <c r="A414" s="113"/>
      <c r="B414" s="113"/>
      <c r="C414" s="113"/>
      <c r="D414" s="113"/>
      <c r="E414" s="113"/>
      <c r="F414" s="113"/>
      <c r="G414" s="113"/>
      <c r="H414" s="144"/>
      <c r="I414" s="113"/>
      <c r="J414" s="113"/>
      <c r="K414" s="114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3"/>
      <c r="AL414" s="114"/>
    </row>
    <row r="415" ht="18.0" customHeight="1">
      <c r="A415" s="113"/>
      <c r="B415" s="113"/>
      <c r="C415" s="113"/>
      <c r="D415" s="113"/>
      <c r="E415" s="113"/>
      <c r="F415" s="113"/>
      <c r="G415" s="113"/>
      <c r="H415" s="144"/>
      <c r="I415" s="113"/>
      <c r="J415" s="113"/>
      <c r="K415" s="114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  <c r="AL415" s="114"/>
    </row>
    <row r="416" ht="18.0" customHeight="1">
      <c r="A416" s="113"/>
      <c r="B416" s="113"/>
      <c r="C416" s="113"/>
      <c r="D416" s="113"/>
      <c r="E416" s="113"/>
      <c r="F416" s="113"/>
      <c r="G416" s="113"/>
      <c r="H416" s="144"/>
      <c r="I416" s="113"/>
      <c r="J416" s="113"/>
      <c r="K416" s="114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4"/>
    </row>
    <row r="417" ht="18.0" customHeight="1">
      <c r="A417" s="113"/>
      <c r="B417" s="113"/>
      <c r="C417" s="113"/>
      <c r="D417" s="113"/>
      <c r="E417" s="113"/>
      <c r="F417" s="113"/>
      <c r="G417" s="113"/>
      <c r="H417" s="144"/>
      <c r="I417" s="113"/>
      <c r="J417" s="113"/>
      <c r="K417" s="114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4"/>
    </row>
    <row r="418" ht="18.0" customHeight="1">
      <c r="A418" s="113"/>
      <c r="B418" s="113"/>
      <c r="C418" s="113"/>
      <c r="D418" s="113"/>
      <c r="E418" s="113"/>
      <c r="F418" s="113"/>
      <c r="G418" s="113"/>
      <c r="H418" s="144"/>
      <c r="I418" s="113"/>
      <c r="J418" s="113"/>
      <c r="K418" s="114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  <c r="AL418" s="114"/>
    </row>
    <row r="419" ht="18.0" customHeight="1">
      <c r="A419" s="113"/>
      <c r="B419" s="113"/>
      <c r="C419" s="113"/>
      <c r="D419" s="113"/>
      <c r="E419" s="113"/>
      <c r="F419" s="113"/>
      <c r="G419" s="113"/>
      <c r="H419" s="144"/>
      <c r="I419" s="113"/>
      <c r="J419" s="113"/>
      <c r="K419" s="114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4"/>
    </row>
    <row r="420" ht="18.0" customHeight="1">
      <c r="A420" s="113"/>
      <c r="B420" s="113"/>
      <c r="C420" s="113"/>
      <c r="D420" s="113"/>
      <c r="E420" s="113"/>
      <c r="F420" s="113"/>
      <c r="G420" s="113"/>
      <c r="H420" s="144"/>
      <c r="I420" s="113"/>
      <c r="J420" s="113"/>
      <c r="K420" s="114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  <c r="AL420" s="114"/>
    </row>
    <row r="421" ht="18.0" customHeight="1">
      <c r="A421" s="113"/>
      <c r="B421" s="113"/>
      <c r="C421" s="113"/>
      <c r="D421" s="113"/>
      <c r="E421" s="113"/>
      <c r="F421" s="113"/>
      <c r="G421" s="113"/>
      <c r="H421" s="144"/>
      <c r="I421" s="113"/>
      <c r="J421" s="113"/>
      <c r="K421" s="114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4"/>
    </row>
    <row r="422" ht="18.0" customHeight="1">
      <c r="A422" s="113"/>
      <c r="B422" s="113"/>
      <c r="C422" s="113"/>
      <c r="D422" s="113"/>
      <c r="E422" s="113"/>
      <c r="F422" s="113"/>
      <c r="G422" s="113"/>
      <c r="H422" s="144"/>
      <c r="I422" s="113"/>
      <c r="J422" s="113"/>
      <c r="K422" s="114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4"/>
    </row>
    <row r="423" ht="18.0" customHeight="1">
      <c r="A423" s="113"/>
      <c r="B423" s="113"/>
      <c r="C423" s="113"/>
      <c r="D423" s="113"/>
      <c r="E423" s="113"/>
      <c r="F423" s="113"/>
      <c r="G423" s="113"/>
      <c r="H423" s="144"/>
      <c r="I423" s="113"/>
      <c r="J423" s="113"/>
      <c r="K423" s="114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4"/>
    </row>
    <row r="424" ht="18.0" customHeight="1">
      <c r="A424" s="113"/>
      <c r="B424" s="113"/>
      <c r="C424" s="113"/>
      <c r="D424" s="113"/>
      <c r="E424" s="113"/>
      <c r="F424" s="113"/>
      <c r="G424" s="113"/>
      <c r="H424" s="144"/>
      <c r="I424" s="113"/>
      <c r="J424" s="113"/>
      <c r="K424" s="114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  <c r="AL424" s="114"/>
    </row>
    <row r="425" ht="18.0" customHeight="1">
      <c r="A425" s="113"/>
      <c r="B425" s="113"/>
      <c r="C425" s="113"/>
      <c r="D425" s="113"/>
      <c r="E425" s="113"/>
      <c r="F425" s="113"/>
      <c r="G425" s="113"/>
      <c r="H425" s="144"/>
      <c r="I425" s="113"/>
      <c r="J425" s="113"/>
      <c r="K425" s="114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  <c r="AL425" s="114"/>
    </row>
    <row r="426" ht="18.0" customHeight="1">
      <c r="A426" s="113"/>
      <c r="B426" s="113"/>
      <c r="C426" s="113"/>
      <c r="D426" s="113"/>
      <c r="E426" s="113"/>
      <c r="F426" s="113"/>
      <c r="G426" s="113"/>
      <c r="H426" s="144"/>
      <c r="I426" s="113"/>
      <c r="J426" s="113"/>
      <c r="K426" s="114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  <c r="AL426" s="114"/>
    </row>
    <row r="427" ht="18.0" customHeight="1">
      <c r="A427" s="113"/>
      <c r="B427" s="113"/>
      <c r="C427" s="113"/>
      <c r="D427" s="113"/>
      <c r="E427" s="113"/>
      <c r="F427" s="113"/>
      <c r="G427" s="113"/>
      <c r="H427" s="144"/>
      <c r="I427" s="113"/>
      <c r="J427" s="113"/>
      <c r="K427" s="114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4"/>
    </row>
    <row r="428" ht="18.0" customHeight="1">
      <c r="A428" s="113"/>
      <c r="B428" s="113"/>
      <c r="C428" s="113"/>
      <c r="D428" s="113"/>
      <c r="E428" s="113"/>
      <c r="F428" s="113"/>
      <c r="G428" s="113"/>
      <c r="H428" s="144"/>
      <c r="I428" s="113"/>
      <c r="J428" s="113"/>
      <c r="K428" s="114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4"/>
    </row>
    <row r="429" ht="18.0" customHeight="1">
      <c r="A429" s="113"/>
      <c r="B429" s="113"/>
      <c r="C429" s="113"/>
      <c r="D429" s="113"/>
      <c r="E429" s="113"/>
      <c r="F429" s="113"/>
      <c r="G429" s="113"/>
      <c r="H429" s="144"/>
      <c r="I429" s="113"/>
      <c r="J429" s="113"/>
      <c r="K429" s="114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3"/>
      <c r="AL429" s="114"/>
    </row>
    <row r="430" ht="18.0" customHeight="1">
      <c r="A430" s="113"/>
      <c r="B430" s="113"/>
      <c r="C430" s="113"/>
      <c r="D430" s="113"/>
      <c r="E430" s="113"/>
      <c r="F430" s="113"/>
      <c r="G430" s="113"/>
      <c r="H430" s="144"/>
      <c r="I430" s="113"/>
      <c r="J430" s="113"/>
      <c r="K430" s="114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4"/>
    </row>
    <row r="431" ht="18.0" customHeight="1">
      <c r="A431" s="113"/>
      <c r="B431" s="113"/>
      <c r="C431" s="113"/>
      <c r="D431" s="113"/>
      <c r="E431" s="113"/>
      <c r="F431" s="113"/>
      <c r="G431" s="113"/>
      <c r="H431" s="144"/>
      <c r="I431" s="113"/>
      <c r="J431" s="113"/>
      <c r="K431" s="114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4"/>
    </row>
    <row r="432" ht="18.0" customHeight="1">
      <c r="A432" s="113"/>
      <c r="B432" s="113"/>
      <c r="C432" s="113"/>
      <c r="D432" s="113"/>
      <c r="E432" s="113"/>
      <c r="F432" s="113"/>
      <c r="G432" s="113"/>
      <c r="H432" s="144"/>
      <c r="I432" s="113"/>
      <c r="J432" s="113"/>
      <c r="K432" s="114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  <c r="AL432" s="114"/>
    </row>
    <row r="433" ht="18.0" customHeight="1">
      <c r="A433" s="113"/>
      <c r="B433" s="113"/>
      <c r="C433" s="113"/>
      <c r="D433" s="113"/>
      <c r="E433" s="113"/>
      <c r="F433" s="113"/>
      <c r="G433" s="113"/>
      <c r="H433" s="144"/>
      <c r="I433" s="113"/>
      <c r="J433" s="113"/>
      <c r="K433" s="114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3"/>
      <c r="AL433" s="114"/>
    </row>
    <row r="434" ht="18.0" customHeight="1">
      <c r="A434" s="113"/>
      <c r="B434" s="113"/>
      <c r="C434" s="113"/>
      <c r="D434" s="113"/>
      <c r="E434" s="113"/>
      <c r="F434" s="113"/>
      <c r="G434" s="113"/>
      <c r="H434" s="144"/>
      <c r="I434" s="113"/>
      <c r="J434" s="113"/>
      <c r="K434" s="114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  <c r="AL434" s="114"/>
    </row>
    <row r="435" ht="18.0" customHeight="1">
      <c r="A435" s="113"/>
      <c r="B435" s="113"/>
      <c r="C435" s="113"/>
      <c r="D435" s="113"/>
      <c r="E435" s="113"/>
      <c r="F435" s="113"/>
      <c r="G435" s="113"/>
      <c r="H435" s="144"/>
      <c r="I435" s="113"/>
      <c r="J435" s="113"/>
      <c r="K435" s="114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4"/>
    </row>
    <row r="436" ht="18.0" customHeight="1">
      <c r="A436" s="113"/>
      <c r="B436" s="113"/>
      <c r="C436" s="113"/>
      <c r="D436" s="113"/>
      <c r="E436" s="113"/>
      <c r="F436" s="113"/>
      <c r="G436" s="113"/>
      <c r="H436" s="144"/>
      <c r="I436" s="113"/>
      <c r="J436" s="113"/>
      <c r="K436" s="114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  <c r="AL436" s="114"/>
    </row>
    <row r="437" ht="18.0" customHeight="1">
      <c r="A437" s="113"/>
      <c r="B437" s="113"/>
      <c r="C437" s="113"/>
      <c r="D437" s="113"/>
      <c r="E437" s="113"/>
      <c r="F437" s="113"/>
      <c r="G437" s="113"/>
      <c r="H437" s="144"/>
      <c r="I437" s="113"/>
      <c r="J437" s="113"/>
      <c r="K437" s="114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  <c r="AL437" s="114"/>
    </row>
    <row r="438" ht="18.0" customHeight="1">
      <c r="A438" s="113"/>
      <c r="B438" s="113"/>
      <c r="C438" s="113"/>
      <c r="D438" s="113"/>
      <c r="E438" s="113"/>
      <c r="F438" s="113"/>
      <c r="G438" s="113"/>
      <c r="H438" s="144"/>
      <c r="I438" s="113"/>
      <c r="J438" s="113"/>
      <c r="K438" s="114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3"/>
      <c r="AL438" s="114"/>
    </row>
    <row r="439" ht="18.0" customHeight="1">
      <c r="A439" s="113"/>
      <c r="B439" s="113"/>
      <c r="C439" s="113"/>
      <c r="D439" s="113"/>
      <c r="E439" s="113"/>
      <c r="F439" s="113"/>
      <c r="G439" s="113"/>
      <c r="H439" s="144"/>
      <c r="I439" s="113"/>
      <c r="J439" s="113"/>
      <c r="K439" s="114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  <c r="AL439" s="114"/>
    </row>
    <row r="440" ht="18.0" customHeight="1">
      <c r="A440" s="113"/>
      <c r="B440" s="113"/>
      <c r="C440" s="113"/>
      <c r="D440" s="113"/>
      <c r="E440" s="113"/>
      <c r="F440" s="113"/>
      <c r="G440" s="113"/>
      <c r="H440" s="144"/>
      <c r="I440" s="113"/>
      <c r="J440" s="113"/>
      <c r="K440" s="114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4"/>
    </row>
    <row r="441" ht="18.0" customHeight="1">
      <c r="A441" s="113"/>
      <c r="B441" s="113"/>
      <c r="C441" s="113"/>
      <c r="D441" s="113"/>
      <c r="E441" s="113"/>
      <c r="F441" s="113"/>
      <c r="G441" s="113"/>
      <c r="H441" s="144"/>
      <c r="I441" s="113"/>
      <c r="J441" s="113"/>
      <c r="K441" s="114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  <c r="AL441" s="114"/>
    </row>
    <row r="442" ht="18.0" customHeight="1">
      <c r="A442" s="113"/>
      <c r="B442" s="113"/>
      <c r="C442" s="113"/>
      <c r="D442" s="113"/>
      <c r="E442" s="113"/>
      <c r="F442" s="113"/>
      <c r="G442" s="113"/>
      <c r="H442" s="144"/>
      <c r="I442" s="113"/>
      <c r="J442" s="113"/>
      <c r="K442" s="114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  <c r="AL442" s="114"/>
    </row>
    <row r="443" ht="18.0" customHeight="1">
      <c r="A443" s="113"/>
      <c r="B443" s="113"/>
      <c r="C443" s="113"/>
      <c r="D443" s="113"/>
      <c r="E443" s="113"/>
      <c r="F443" s="113"/>
      <c r="G443" s="113"/>
      <c r="H443" s="144"/>
      <c r="I443" s="113"/>
      <c r="J443" s="113"/>
      <c r="K443" s="114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  <c r="AL443" s="114"/>
    </row>
    <row r="444" ht="18.0" customHeight="1">
      <c r="A444" s="113"/>
      <c r="B444" s="113"/>
      <c r="C444" s="113"/>
      <c r="D444" s="113"/>
      <c r="E444" s="113"/>
      <c r="F444" s="113"/>
      <c r="G444" s="113"/>
      <c r="H444" s="144"/>
      <c r="I444" s="113"/>
      <c r="J444" s="113"/>
      <c r="K444" s="114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  <c r="AL444" s="114"/>
    </row>
    <row r="445" ht="18.0" customHeight="1">
      <c r="A445" s="113"/>
      <c r="B445" s="113"/>
      <c r="C445" s="113"/>
      <c r="D445" s="113"/>
      <c r="E445" s="113"/>
      <c r="F445" s="113"/>
      <c r="G445" s="113"/>
      <c r="H445" s="144"/>
      <c r="I445" s="113"/>
      <c r="J445" s="113"/>
      <c r="K445" s="114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  <c r="AL445" s="114"/>
    </row>
    <row r="446" ht="18.0" customHeight="1">
      <c r="A446" s="113"/>
      <c r="B446" s="113"/>
      <c r="C446" s="113"/>
      <c r="D446" s="113"/>
      <c r="E446" s="113"/>
      <c r="F446" s="113"/>
      <c r="G446" s="113"/>
      <c r="H446" s="144"/>
      <c r="I446" s="113"/>
      <c r="J446" s="113"/>
      <c r="K446" s="114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4"/>
    </row>
    <row r="447" ht="18.0" customHeight="1">
      <c r="A447" s="113"/>
      <c r="B447" s="113"/>
      <c r="C447" s="113"/>
      <c r="D447" s="113"/>
      <c r="E447" s="113"/>
      <c r="F447" s="113"/>
      <c r="G447" s="113"/>
      <c r="H447" s="144"/>
      <c r="I447" s="113"/>
      <c r="J447" s="113"/>
      <c r="K447" s="114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  <c r="AL447" s="114"/>
    </row>
    <row r="448" ht="18.0" customHeight="1">
      <c r="A448" s="113"/>
      <c r="B448" s="113"/>
      <c r="C448" s="113"/>
      <c r="D448" s="113"/>
      <c r="E448" s="113"/>
      <c r="F448" s="113"/>
      <c r="G448" s="113"/>
      <c r="H448" s="144"/>
      <c r="I448" s="113"/>
      <c r="J448" s="113"/>
      <c r="K448" s="114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  <c r="AL448" s="114"/>
    </row>
    <row r="449" ht="18.0" customHeight="1">
      <c r="A449" s="113"/>
      <c r="B449" s="113"/>
      <c r="C449" s="113"/>
      <c r="D449" s="113"/>
      <c r="E449" s="113"/>
      <c r="F449" s="113"/>
      <c r="G449" s="113"/>
      <c r="H449" s="144"/>
      <c r="I449" s="113"/>
      <c r="J449" s="113"/>
      <c r="K449" s="114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  <c r="AL449" s="114"/>
    </row>
    <row r="450" ht="18.0" customHeight="1">
      <c r="A450" s="113"/>
      <c r="B450" s="113"/>
      <c r="C450" s="113"/>
      <c r="D450" s="113"/>
      <c r="E450" s="113"/>
      <c r="F450" s="113"/>
      <c r="G450" s="113"/>
      <c r="H450" s="144"/>
      <c r="I450" s="113"/>
      <c r="J450" s="113"/>
      <c r="K450" s="114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4"/>
    </row>
    <row r="451" ht="18.0" customHeight="1">
      <c r="A451" s="113"/>
      <c r="B451" s="113"/>
      <c r="C451" s="113"/>
      <c r="D451" s="113"/>
      <c r="E451" s="113"/>
      <c r="F451" s="113"/>
      <c r="G451" s="113"/>
      <c r="H451" s="144"/>
      <c r="I451" s="113"/>
      <c r="J451" s="113"/>
      <c r="K451" s="114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  <c r="AL451" s="114"/>
    </row>
    <row r="452" ht="18.0" customHeight="1">
      <c r="A452" s="113"/>
      <c r="B452" s="113"/>
      <c r="C452" s="113"/>
      <c r="D452" s="113"/>
      <c r="E452" s="113"/>
      <c r="F452" s="113"/>
      <c r="G452" s="113"/>
      <c r="H452" s="144"/>
      <c r="I452" s="113"/>
      <c r="J452" s="113"/>
      <c r="K452" s="114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4"/>
    </row>
    <row r="453" ht="18.0" customHeight="1">
      <c r="A453" s="113"/>
      <c r="B453" s="113"/>
      <c r="C453" s="113"/>
      <c r="D453" s="113"/>
      <c r="E453" s="113"/>
      <c r="F453" s="113"/>
      <c r="G453" s="113"/>
      <c r="H453" s="144"/>
      <c r="I453" s="113"/>
      <c r="J453" s="113"/>
      <c r="K453" s="114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  <c r="AL453" s="114"/>
    </row>
    <row r="454" ht="18.0" customHeight="1">
      <c r="A454" s="113"/>
      <c r="B454" s="113"/>
      <c r="C454" s="113"/>
      <c r="D454" s="113"/>
      <c r="E454" s="113"/>
      <c r="F454" s="113"/>
      <c r="G454" s="113"/>
      <c r="H454" s="144"/>
      <c r="I454" s="113"/>
      <c r="J454" s="113"/>
      <c r="K454" s="114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  <c r="AL454" s="114"/>
    </row>
    <row r="455" ht="18.0" customHeight="1">
      <c r="A455" s="113"/>
      <c r="B455" s="113"/>
      <c r="C455" s="113"/>
      <c r="D455" s="113"/>
      <c r="E455" s="113"/>
      <c r="F455" s="113"/>
      <c r="G455" s="113"/>
      <c r="H455" s="144"/>
      <c r="I455" s="113"/>
      <c r="J455" s="113"/>
      <c r="K455" s="114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  <c r="AL455" s="114"/>
    </row>
    <row r="456" ht="18.0" customHeight="1">
      <c r="A456" s="113"/>
      <c r="B456" s="113"/>
      <c r="C456" s="113"/>
      <c r="D456" s="113"/>
      <c r="E456" s="113"/>
      <c r="F456" s="113"/>
      <c r="G456" s="113"/>
      <c r="H456" s="144"/>
      <c r="I456" s="113"/>
      <c r="J456" s="113"/>
      <c r="K456" s="114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4"/>
    </row>
    <row r="457" ht="18.0" customHeight="1">
      <c r="A457" s="113"/>
      <c r="B457" s="113"/>
      <c r="C457" s="113"/>
      <c r="D457" s="113"/>
      <c r="E457" s="113"/>
      <c r="F457" s="113"/>
      <c r="G457" s="113"/>
      <c r="H457" s="144"/>
      <c r="I457" s="113"/>
      <c r="J457" s="113"/>
      <c r="K457" s="114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4"/>
    </row>
    <row r="458" ht="18.0" customHeight="1">
      <c r="A458" s="113"/>
      <c r="B458" s="113"/>
      <c r="C458" s="113"/>
      <c r="D458" s="113"/>
      <c r="E458" s="113"/>
      <c r="F458" s="113"/>
      <c r="G458" s="113"/>
      <c r="H458" s="144"/>
      <c r="I458" s="113"/>
      <c r="J458" s="113"/>
      <c r="K458" s="114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  <c r="AL458" s="114"/>
    </row>
    <row r="459" ht="18.0" customHeight="1">
      <c r="A459" s="113"/>
      <c r="B459" s="113"/>
      <c r="C459" s="113"/>
      <c r="D459" s="113"/>
      <c r="E459" s="113"/>
      <c r="F459" s="113"/>
      <c r="G459" s="113"/>
      <c r="H459" s="144"/>
      <c r="I459" s="113"/>
      <c r="J459" s="113"/>
      <c r="K459" s="114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  <c r="AL459" s="114"/>
    </row>
    <row r="460" ht="18.0" customHeight="1">
      <c r="A460" s="113"/>
      <c r="B460" s="113"/>
      <c r="C460" s="113"/>
      <c r="D460" s="113"/>
      <c r="E460" s="113"/>
      <c r="F460" s="113"/>
      <c r="G460" s="113"/>
      <c r="H460" s="144"/>
      <c r="I460" s="113"/>
      <c r="J460" s="113"/>
      <c r="K460" s="114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  <c r="AL460" s="114"/>
    </row>
    <row r="461" ht="18.0" customHeight="1">
      <c r="A461" s="113"/>
      <c r="B461" s="113"/>
      <c r="C461" s="113"/>
      <c r="D461" s="113"/>
      <c r="E461" s="113"/>
      <c r="F461" s="113"/>
      <c r="G461" s="113"/>
      <c r="H461" s="144"/>
      <c r="I461" s="113"/>
      <c r="J461" s="113"/>
      <c r="K461" s="114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  <c r="AL461" s="114"/>
    </row>
    <row r="462" ht="18.0" customHeight="1">
      <c r="A462" s="113"/>
      <c r="B462" s="113"/>
      <c r="C462" s="113"/>
      <c r="D462" s="113"/>
      <c r="E462" s="113"/>
      <c r="F462" s="113"/>
      <c r="G462" s="113"/>
      <c r="H462" s="144"/>
      <c r="I462" s="113"/>
      <c r="J462" s="113"/>
      <c r="K462" s="114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  <c r="AL462" s="114"/>
    </row>
    <row r="463" ht="18.0" customHeight="1">
      <c r="A463" s="113"/>
      <c r="B463" s="113"/>
      <c r="C463" s="113"/>
      <c r="D463" s="113"/>
      <c r="E463" s="113"/>
      <c r="F463" s="113"/>
      <c r="G463" s="113"/>
      <c r="H463" s="144"/>
      <c r="I463" s="113"/>
      <c r="J463" s="113"/>
      <c r="K463" s="114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  <c r="AL463" s="114"/>
    </row>
    <row r="464" ht="18.0" customHeight="1">
      <c r="A464" s="113"/>
      <c r="B464" s="113"/>
      <c r="C464" s="113"/>
      <c r="D464" s="113"/>
      <c r="E464" s="113"/>
      <c r="F464" s="113"/>
      <c r="G464" s="113"/>
      <c r="H464" s="144"/>
      <c r="I464" s="113"/>
      <c r="J464" s="113"/>
      <c r="K464" s="114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4"/>
    </row>
    <row r="465" ht="18.0" customHeight="1">
      <c r="A465" s="113"/>
      <c r="B465" s="113"/>
      <c r="C465" s="113"/>
      <c r="D465" s="113"/>
      <c r="E465" s="113"/>
      <c r="F465" s="113"/>
      <c r="G465" s="113"/>
      <c r="H465" s="144"/>
      <c r="I465" s="113"/>
      <c r="J465" s="113"/>
      <c r="K465" s="114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  <c r="AL465" s="114"/>
    </row>
    <row r="466" ht="18.0" customHeight="1">
      <c r="A466" s="113"/>
      <c r="B466" s="113"/>
      <c r="C466" s="113"/>
      <c r="D466" s="113"/>
      <c r="E466" s="113"/>
      <c r="F466" s="113"/>
      <c r="G466" s="113"/>
      <c r="H466" s="144"/>
      <c r="I466" s="113"/>
      <c r="J466" s="113"/>
      <c r="K466" s="114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  <c r="AL466" s="114"/>
    </row>
    <row r="467" ht="18.0" customHeight="1">
      <c r="A467" s="113"/>
      <c r="B467" s="113"/>
      <c r="C467" s="113"/>
      <c r="D467" s="113"/>
      <c r="E467" s="113"/>
      <c r="F467" s="113"/>
      <c r="G467" s="113"/>
      <c r="H467" s="144"/>
      <c r="I467" s="113"/>
      <c r="J467" s="113"/>
      <c r="K467" s="114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4"/>
    </row>
    <row r="468" ht="18.0" customHeight="1">
      <c r="A468" s="113"/>
      <c r="B468" s="113"/>
      <c r="C468" s="113"/>
      <c r="D468" s="113"/>
      <c r="E468" s="113"/>
      <c r="F468" s="113"/>
      <c r="G468" s="113"/>
      <c r="H468" s="144"/>
      <c r="I468" s="113"/>
      <c r="J468" s="113"/>
      <c r="K468" s="114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4"/>
    </row>
    <row r="469" ht="18.0" customHeight="1">
      <c r="A469" s="113"/>
      <c r="B469" s="113"/>
      <c r="C469" s="113"/>
      <c r="D469" s="113"/>
      <c r="E469" s="113"/>
      <c r="F469" s="113"/>
      <c r="G469" s="113"/>
      <c r="H469" s="144"/>
      <c r="I469" s="113"/>
      <c r="J469" s="113"/>
      <c r="K469" s="114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  <c r="AL469" s="114"/>
    </row>
    <row r="470" ht="18.0" customHeight="1">
      <c r="A470" s="113"/>
      <c r="B470" s="113"/>
      <c r="C470" s="113"/>
      <c r="D470" s="113"/>
      <c r="E470" s="113"/>
      <c r="F470" s="113"/>
      <c r="G470" s="113"/>
      <c r="H470" s="144"/>
      <c r="I470" s="113"/>
      <c r="J470" s="113"/>
      <c r="K470" s="114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  <c r="AL470" s="114"/>
    </row>
    <row r="471" ht="18.0" customHeight="1">
      <c r="A471" s="113"/>
      <c r="B471" s="113"/>
      <c r="C471" s="113"/>
      <c r="D471" s="113"/>
      <c r="E471" s="113"/>
      <c r="F471" s="113"/>
      <c r="G471" s="113"/>
      <c r="H471" s="144"/>
      <c r="I471" s="113"/>
      <c r="J471" s="113"/>
      <c r="K471" s="114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  <c r="AL471" s="114"/>
    </row>
    <row r="472" ht="18.0" customHeight="1">
      <c r="A472" s="113"/>
      <c r="B472" s="113"/>
      <c r="C472" s="113"/>
      <c r="D472" s="113"/>
      <c r="E472" s="113"/>
      <c r="F472" s="113"/>
      <c r="G472" s="113"/>
      <c r="H472" s="144"/>
      <c r="I472" s="113"/>
      <c r="J472" s="113"/>
      <c r="K472" s="114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  <c r="AL472" s="114"/>
    </row>
    <row r="473" ht="18.0" customHeight="1">
      <c r="A473" s="113"/>
      <c r="B473" s="113"/>
      <c r="C473" s="113"/>
      <c r="D473" s="113"/>
      <c r="E473" s="113"/>
      <c r="F473" s="113"/>
      <c r="G473" s="113"/>
      <c r="H473" s="144"/>
      <c r="I473" s="113"/>
      <c r="J473" s="113"/>
      <c r="K473" s="114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  <c r="AL473" s="114"/>
    </row>
    <row r="474" ht="18.0" customHeight="1">
      <c r="A474" s="113"/>
      <c r="B474" s="113"/>
      <c r="C474" s="113"/>
      <c r="D474" s="113"/>
      <c r="E474" s="113"/>
      <c r="F474" s="113"/>
      <c r="G474" s="113"/>
      <c r="H474" s="144"/>
      <c r="I474" s="113"/>
      <c r="J474" s="113"/>
      <c r="K474" s="114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3"/>
      <c r="AL474" s="114"/>
    </row>
    <row r="475" ht="18.0" customHeight="1">
      <c r="A475" s="113"/>
      <c r="B475" s="113"/>
      <c r="C475" s="113"/>
      <c r="D475" s="113"/>
      <c r="E475" s="113"/>
      <c r="F475" s="113"/>
      <c r="G475" s="113"/>
      <c r="H475" s="144"/>
      <c r="I475" s="113"/>
      <c r="J475" s="113"/>
      <c r="K475" s="114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  <c r="AL475" s="114"/>
    </row>
    <row r="476" ht="18.0" customHeight="1">
      <c r="A476" s="113"/>
      <c r="B476" s="113"/>
      <c r="C476" s="113"/>
      <c r="D476" s="113"/>
      <c r="E476" s="113"/>
      <c r="F476" s="113"/>
      <c r="G476" s="113"/>
      <c r="H476" s="144"/>
      <c r="I476" s="113"/>
      <c r="J476" s="113"/>
      <c r="K476" s="114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3"/>
      <c r="AL476" s="114"/>
    </row>
    <row r="477" ht="18.0" customHeight="1">
      <c r="A477" s="113"/>
      <c r="B477" s="113"/>
      <c r="C477" s="113"/>
      <c r="D477" s="113"/>
      <c r="E477" s="113"/>
      <c r="F477" s="113"/>
      <c r="G477" s="113"/>
      <c r="H477" s="144"/>
      <c r="I477" s="113"/>
      <c r="J477" s="113"/>
      <c r="K477" s="114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  <c r="AL477" s="114"/>
    </row>
    <row r="478" ht="18.0" customHeight="1">
      <c r="A478" s="113"/>
      <c r="B478" s="113"/>
      <c r="C478" s="113"/>
      <c r="D478" s="113"/>
      <c r="E478" s="113"/>
      <c r="F478" s="113"/>
      <c r="G478" s="113"/>
      <c r="H478" s="144"/>
      <c r="I478" s="113"/>
      <c r="J478" s="113"/>
      <c r="K478" s="114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  <c r="AL478" s="114"/>
    </row>
    <row r="479" ht="18.0" customHeight="1">
      <c r="A479" s="113"/>
      <c r="B479" s="113"/>
      <c r="C479" s="113"/>
      <c r="D479" s="113"/>
      <c r="E479" s="113"/>
      <c r="F479" s="113"/>
      <c r="G479" s="113"/>
      <c r="H479" s="144"/>
      <c r="I479" s="113"/>
      <c r="J479" s="113"/>
      <c r="K479" s="114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  <c r="AL479" s="114"/>
    </row>
    <row r="480" ht="18.0" customHeight="1">
      <c r="A480" s="113"/>
      <c r="B480" s="113"/>
      <c r="C480" s="113"/>
      <c r="D480" s="113"/>
      <c r="E480" s="113"/>
      <c r="F480" s="113"/>
      <c r="G480" s="113"/>
      <c r="H480" s="144"/>
      <c r="I480" s="113"/>
      <c r="J480" s="113"/>
      <c r="K480" s="114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  <c r="AL480" s="114"/>
    </row>
    <row r="481" ht="18.0" customHeight="1">
      <c r="A481" s="113"/>
      <c r="B481" s="113"/>
      <c r="C481" s="113"/>
      <c r="D481" s="113"/>
      <c r="E481" s="113"/>
      <c r="F481" s="113"/>
      <c r="G481" s="113"/>
      <c r="H481" s="144"/>
      <c r="I481" s="113"/>
      <c r="J481" s="113"/>
      <c r="K481" s="114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  <c r="AL481" s="114"/>
    </row>
    <row r="482" ht="18.0" customHeight="1">
      <c r="A482" s="113"/>
      <c r="B482" s="113"/>
      <c r="C482" s="113"/>
      <c r="D482" s="113"/>
      <c r="E482" s="113"/>
      <c r="F482" s="113"/>
      <c r="G482" s="113"/>
      <c r="H482" s="144"/>
      <c r="I482" s="113"/>
      <c r="J482" s="113"/>
      <c r="K482" s="114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  <c r="AL482" s="114"/>
    </row>
    <row r="483" ht="18.0" customHeight="1">
      <c r="A483" s="113"/>
      <c r="B483" s="113"/>
      <c r="C483" s="113"/>
      <c r="D483" s="113"/>
      <c r="E483" s="113"/>
      <c r="F483" s="113"/>
      <c r="G483" s="113"/>
      <c r="H483" s="144"/>
      <c r="I483" s="113"/>
      <c r="J483" s="113"/>
      <c r="K483" s="114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  <c r="AL483" s="114"/>
    </row>
    <row r="484" ht="18.0" customHeight="1">
      <c r="A484" s="113"/>
      <c r="B484" s="113"/>
      <c r="C484" s="113"/>
      <c r="D484" s="113"/>
      <c r="E484" s="113"/>
      <c r="F484" s="113"/>
      <c r="G484" s="113"/>
      <c r="H484" s="144"/>
      <c r="I484" s="113"/>
      <c r="J484" s="113"/>
      <c r="K484" s="114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4"/>
    </row>
    <row r="485" ht="18.0" customHeight="1">
      <c r="A485" s="113"/>
      <c r="B485" s="113"/>
      <c r="C485" s="113"/>
      <c r="D485" s="113"/>
      <c r="E485" s="113"/>
      <c r="F485" s="113"/>
      <c r="G485" s="113"/>
      <c r="H485" s="144"/>
      <c r="I485" s="113"/>
      <c r="J485" s="113"/>
      <c r="K485" s="114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  <c r="AL485" s="114"/>
    </row>
    <row r="486" ht="18.0" customHeight="1">
      <c r="A486" s="113"/>
      <c r="B486" s="113"/>
      <c r="C486" s="113"/>
      <c r="D486" s="113"/>
      <c r="E486" s="113"/>
      <c r="F486" s="113"/>
      <c r="G486" s="113"/>
      <c r="H486" s="144"/>
      <c r="I486" s="113"/>
      <c r="J486" s="113"/>
      <c r="K486" s="114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  <c r="AD486" s="113"/>
      <c r="AE486" s="113"/>
      <c r="AF486" s="113"/>
      <c r="AG486" s="113"/>
      <c r="AH486" s="113"/>
      <c r="AI486" s="113"/>
      <c r="AJ486" s="113"/>
      <c r="AK486" s="113"/>
      <c r="AL486" s="114"/>
    </row>
    <row r="487" ht="18.0" customHeight="1">
      <c r="A487" s="113"/>
      <c r="B487" s="113"/>
      <c r="C487" s="113"/>
      <c r="D487" s="113"/>
      <c r="E487" s="113"/>
      <c r="F487" s="113"/>
      <c r="G487" s="113"/>
      <c r="H487" s="144"/>
      <c r="I487" s="113"/>
      <c r="J487" s="113"/>
      <c r="K487" s="114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  <c r="AL487" s="114"/>
    </row>
    <row r="488" ht="18.0" customHeight="1">
      <c r="A488" s="113"/>
      <c r="B488" s="113"/>
      <c r="C488" s="113"/>
      <c r="D488" s="113"/>
      <c r="E488" s="113"/>
      <c r="F488" s="113"/>
      <c r="G488" s="113"/>
      <c r="H488" s="144"/>
      <c r="I488" s="113"/>
      <c r="J488" s="113"/>
      <c r="K488" s="114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3"/>
      <c r="AL488" s="114"/>
    </row>
    <row r="489" ht="18.0" customHeight="1">
      <c r="A489" s="113"/>
      <c r="B489" s="113"/>
      <c r="C489" s="113"/>
      <c r="D489" s="113"/>
      <c r="E489" s="113"/>
      <c r="F489" s="113"/>
      <c r="G489" s="113"/>
      <c r="H489" s="144"/>
      <c r="I489" s="113"/>
      <c r="J489" s="113"/>
      <c r="K489" s="114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  <c r="AL489" s="114"/>
    </row>
    <row r="490" ht="18.0" customHeight="1">
      <c r="A490" s="113"/>
      <c r="B490" s="113"/>
      <c r="C490" s="113"/>
      <c r="D490" s="113"/>
      <c r="E490" s="113"/>
      <c r="F490" s="113"/>
      <c r="G490" s="113"/>
      <c r="H490" s="144"/>
      <c r="I490" s="113"/>
      <c r="J490" s="113"/>
      <c r="K490" s="114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  <c r="AL490" s="114"/>
    </row>
    <row r="491" ht="18.0" customHeight="1">
      <c r="A491" s="113"/>
      <c r="B491" s="113"/>
      <c r="C491" s="113"/>
      <c r="D491" s="113"/>
      <c r="E491" s="113"/>
      <c r="F491" s="113"/>
      <c r="G491" s="113"/>
      <c r="H491" s="144"/>
      <c r="I491" s="113"/>
      <c r="J491" s="113"/>
      <c r="K491" s="114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  <c r="AL491" s="114"/>
    </row>
    <row r="492" ht="18.0" customHeight="1">
      <c r="A492" s="113"/>
      <c r="B492" s="113"/>
      <c r="C492" s="113"/>
      <c r="D492" s="113"/>
      <c r="E492" s="113"/>
      <c r="F492" s="113"/>
      <c r="G492" s="113"/>
      <c r="H492" s="144"/>
      <c r="I492" s="113"/>
      <c r="J492" s="113"/>
      <c r="K492" s="114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  <c r="AL492" s="114"/>
    </row>
    <row r="493" ht="18.0" customHeight="1">
      <c r="A493" s="113"/>
      <c r="B493" s="113"/>
      <c r="C493" s="113"/>
      <c r="D493" s="113"/>
      <c r="E493" s="113"/>
      <c r="F493" s="113"/>
      <c r="G493" s="113"/>
      <c r="H493" s="144"/>
      <c r="I493" s="113"/>
      <c r="J493" s="113"/>
      <c r="K493" s="114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  <c r="AL493" s="114"/>
    </row>
    <row r="494" ht="18.0" customHeight="1">
      <c r="A494" s="113"/>
      <c r="B494" s="113"/>
      <c r="C494" s="113"/>
      <c r="D494" s="113"/>
      <c r="E494" s="113"/>
      <c r="F494" s="113"/>
      <c r="G494" s="113"/>
      <c r="H494" s="144"/>
      <c r="I494" s="113"/>
      <c r="J494" s="113"/>
      <c r="K494" s="114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  <c r="AD494" s="113"/>
      <c r="AE494" s="113"/>
      <c r="AF494" s="113"/>
      <c r="AG494" s="113"/>
      <c r="AH494" s="113"/>
      <c r="AI494" s="113"/>
      <c r="AJ494" s="113"/>
      <c r="AK494" s="113"/>
      <c r="AL494" s="114"/>
    </row>
    <row r="495" ht="18.0" customHeight="1">
      <c r="A495" s="113"/>
      <c r="B495" s="113"/>
      <c r="C495" s="113"/>
      <c r="D495" s="113"/>
      <c r="E495" s="113"/>
      <c r="F495" s="113"/>
      <c r="G495" s="113"/>
      <c r="H495" s="144"/>
      <c r="I495" s="113"/>
      <c r="J495" s="113"/>
      <c r="K495" s="114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4"/>
    </row>
    <row r="496" ht="18.0" customHeight="1">
      <c r="A496" s="113"/>
      <c r="B496" s="113"/>
      <c r="C496" s="113"/>
      <c r="D496" s="113"/>
      <c r="E496" s="113"/>
      <c r="F496" s="113"/>
      <c r="G496" s="113"/>
      <c r="H496" s="144"/>
      <c r="I496" s="113"/>
      <c r="J496" s="113"/>
      <c r="K496" s="114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  <c r="AL496" s="114"/>
    </row>
    <row r="497" ht="18.0" customHeight="1">
      <c r="A497" s="113"/>
      <c r="B497" s="113"/>
      <c r="C497" s="113"/>
      <c r="D497" s="113"/>
      <c r="E497" s="113"/>
      <c r="F497" s="113"/>
      <c r="G497" s="113"/>
      <c r="H497" s="144"/>
      <c r="I497" s="113"/>
      <c r="J497" s="113"/>
      <c r="K497" s="114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  <c r="AL497" s="114"/>
    </row>
    <row r="498" ht="18.0" customHeight="1">
      <c r="A498" s="113"/>
      <c r="B498" s="113"/>
      <c r="C498" s="113"/>
      <c r="D498" s="113"/>
      <c r="E498" s="113"/>
      <c r="F498" s="113"/>
      <c r="G498" s="113"/>
      <c r="H498" s="144"/>
      <c r="I498" s="113"/>
      <c r="J498" s="113"/>
      <c r="K498" s="114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  <c r="AL498" s="114"/>
    </row>
    <row r="499" ht="18.0" customHeight="1">
      <c r="A499" s="113"/>
      <c r="B499" s="113"/>
      <c r="C499" s="113"/>
      <c r="D499" s="113"/>
      <c r="E499" s="113"/>
      <c r="F499" s="113"/>
      <c r="G499" s="113"/>
      <c r="H499" s="144"/>
      <c r="I499" s="113"/>
      <c r="J499" s="113"/>
      <c r="K499" s="114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  <c r="AL499" s="114"/>
    </row>
    <row r="500" ht="18.0" customHeight="1">
      <c r="A500" s="113"/>
      <c r="B500" s="113"/>
      <c r="C500" s="113"/>
      <c r="D500" s="113"/>
      <c r="E500" s="113"/>
      <c r="F500" s="113"/>
      <c r="G500" s="113"/>
      <c r="H500" s="144"/>
      <c r="I500" s="113"/>
      <c r="J500" s="113"/>
      <c r="K500" s="114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  <c r="AL500" s="114"/>
    </row>
    <row r="501" ht="18.0" customHeight="1">
      <c r="A501" s="113"/>
      <c r="B501" s="113"/>
      <c r="C501" s="113"/>
      <c r="D501" s="113"/>
      <c r="E501" s="113"/>
      <c r="F501" s="113"/>
      <c r="G501" s="113"/>
      <c r="H501" s="144"/>
      <c r="I501" s="113"/>
      <c r="J501" s="113"/>
      <c r="K501" s="114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3"/>
      <c r="AL501" s="114"/>
    </row>
    <row r="502" ht="18.0" customHeight="1">
      <c r="A502" s="113"/>
      <c r="B502" s="113"/>
      <c r="C502" s="113"/>
      <c r="D502" s="113"/>
      <c r="E502" s="113"/>
      <c r="F502" s="113"/>
      <c r="G502" s="113"/>
      <c r="H502" s="144"/>
      <c r="I502" s="113"/>
      <c r="J502" s="113"/>
      <c r="K502" s="114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  <c r="AL502" s="114"/>
    </row>
    <row r="503" ht="18.0" customHeight="1">
      <c r="A503" s="113"/>
      <c r="B503" s="113"/>
      <c r="C503" s="113"/>
      <c r="D503" s="113"/>
      <c r="E503" s="113"/>
      <c r="F503" s="113"/>
      <c r="G503" s="113"/>
      <c r="H503" s="144"/>
      <c r="I503" s="113"/>
      <c r="J503" s="113"/>
      <c r="K503" s="114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4"/>
    </row>
    <row r="504" ht="18.0" customHeight="1">
      <c r="A504" s="113"/>
      <c r="B504" s="113"/>
      <c r="C504" s="113"/>
      <c r="D504" s="113"/>
      <c r="E504" s="113"/>
      <c r="F504" s="113"/>
      <c r="G504" s="113"/>
      <c r="H504" s="144"/>
      <c r="I504" s="113"/>
      <c r="J504" s="113"/>
      <c r="K504" s="114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  <c r="AL504" s="114"/>
    </row>
    <row r="505" ht="18.0" customHeight="1">
      <c r="A505" s="113"/>
      <c r="B505" s="113"/>
      <c r="C505" s="113"/>
      <c r="D505" s="113"/>
      <c r="E505" s="113"/>
      <c r="F505" s="113"/>
      <c r="G505" s="113"/>
      <c r="H505" s="144"/>
      <c r="I505" s="113"/>
      <c r="J505" s="113"/>
      <c r="K505" s="114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  <c r="AL505" s="114"/>
    </row>
    <row r="506" ht="18.0" customHeight="1">
      <c r="A506" s="113"/>
      <c r="B506" s="113"/>
      <c r="C506" s="113"/>
      <c r="D506" s="113"/>
      <c r="E506" s="113"/>
      <c r="F506" s="113"/>
      <c r="G506" s="113"/>
      <c r="H506" s="144"/>
      <c r="I506" s="113"/>
      <c r="J506" s="113"/>
      <c r="K506" s="114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3"/>
      <c r="AL506" s="114"/>
    </row>
    <row r="507" ht="18.0" customHeight="1">
      <c r="A507" s="113"/>
      <c r="B507" s="113"/>
      <c r="C507" s="113"/>
      <c r="D507" s="113"/>
      <c r="E507" s="113"/>
      <c r="F507" s="113"/>
      <c r="G507" s="113"/>
      <c r="H507" s="144"/>
      <c r="I507" s="113"/>
      <c r="J507" s="113"/>
      <c r="K507" s="114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  <c r="AL507" s="114"/>
    </row>
    <row r="508" ht="18.0" customHeight="1">
      <c r="A508" s="113"/>
      <c r="B508" s="113"/>
      <c r="C508" s="113"/>
      <c r="D508" s="113"/>
      <c r="E508" s="113"/>
      <c r="F508" s="113"/>
      <c r="G508" s="113"/>
      <c r="H508" s="144"/>
      <c r="I508" s="113"/>
      <c r="J508" s="113"/>
      <c r="K508" s="114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  <c r="AL508" s="114"/>
    </row>
    <row r="509" ht="18.0" customHeight="1">
      <c r="A509" s="113"/>
      <c r="B509" s="113"/>
      <c r="C509" s="113"/>
      <c r="D509" s="113"/>
      <c r="E509" s="113"/>
      <c r="F509" s="113"/>
      <c r="G509" s="113"/>
      <c r="H509" s="144"/>
      <c r="I509" s="113"/>
      <c r="J509" s="113"/>
      <c r="K509" s="114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  <c r="AL509" s="114"/>
    </row>
    <row r="510" ht="18.0" customHeight="1">
      <c r="A510" s="113"/>
      <c r="B510" s="113"/>
      <c r="C510" s="113"/>
      <c r="D510" s="113"/>
      <c r="E510" s="113"/>
      <c r="F510" s="113"/>
      <c r="G510" s="113"/>
      <c r="H510" s="144"/>
      <c r="I510" s="113"/>
      <c r="J510" s="113"/>
      <c r="K510" s="114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  <c r="AL510" s="114"/>
    </row>
    <row r="511" ht="18.0" customHeight="1">
      <c r="A511" s="113"/>
      <c r="B511" s="113"/>
      <c r="C511" s="113"/>
      <c r="D511" s="113"/>
      <c r="E511" s="113"/>
      <c r="F511" s="113"/>
      <c r="G511" s="113"/>
      <c r="H511" s="144"/>
      <c r="I511" s="113"/>
      <c r="J511" s="113"/>
      <c r="K511" s="114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4"/>
    </row>
    <row r="512" ht="18.0" customHeight="1">
      <c r="A512" s="113"/>
      <c r="B512" s="113"/>
      <c r="C512" s="113"/>
      <c r="D512" s="113"/>
      <c r="E512" s="113"/>
      <c r="F512" s="113"/>
      <c r="G512" s="113"/>
      <c r="H512" s="144"/>
      <c r="I512" s="113"/>
      <c r="J512" s="113"/>
      <c r="K512" s="114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3"/>
      <c r="AL512" s="114"/>
    </row>
    <row r="513" ht="18.0" customHeight="1">
      <c r="A513" s="113"/>
      <c r="B513" s="113"/>
      <c r="C513" s="113"/>
      <c r="D513" s="113"/>
      <c r="E513" s="113"/>
      <c r="F513" s="113"/>
      <c r="G513" s="113"/>
      <c r="H513" s="144"/>
      <c r="I513" s="113"/>
      <c r="J513" s="113"/>
      <c r="K513" s="114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  <c r="AL513" s="114"/>
    </row>
    <row r="514" ht="18.0" customHeight="1">
      <c r="A514" s="113"/>
      <c r="B514" s="113"/>
      <c r="C514" s="113"/>
      <c r="D514" s="113"/>
      <c r="E514" s="113"/>
      <c r="F514" s="113"/>
      <c r="G514" s="113"/>
      <c r="H514" s="144"/>
      <c r="I514" s="113"/>
      <c r="J514" s="113"/>
      <c r="K514" s="114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3"/>
      <c r="AL514" s="114"/>
    </row>
    <row r="515" ht="18.0" customHeight="1">
      <c r="A515" s="113"/>
      <c r="B515" s="113"/>
      <c r="C515" s="113"/>
      <c r="D515" s="113"/>
      <c r="E515" s="113"/>
      <c r="F515" s="113"/>
      <c r="G515" s="113"/>
      <c r="H515" s="144"/>
      <c r="I515" s="113"/>
      <c r="J515" s="113"/>
      <c r="K515" s="114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3"/>
      <c r="AL515" s="114"/>
    </row>
    <row r="516" ht="18.0" customHeight="1">
      <c r="A516" s="113"/>
      <c r="B516" s="113"/>
      <c r="C516" s="113"/>
      <c r="D516" s="113"/>
      <c r="E516" s="113"/>
      <c r="F516" s="113"/>
      <c r="G516" s="113"/>
      <c r="H516" s="144"/>
      <c r="I516" s="113"/>
      <c r="J516" s="113"/>
      <c r="K516" s="114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  <c r="AL516" s="114"/>
    </row>
    <row r="517" ht="18.0" customHeight="1">
      <c r="A517" s="113"/>
      <c r="B517" s="113"/>
      <c r="C517" s="113"/>
      <c r="D517" s="113"/>
      <c r="E517" s="113"/>
      <c r="F517" s="113"/>
      <c r="G517" s="113"/>
      <c r="H517" s="144"/>
      <c r="I517" s="113"/>
      <c r="J517" s="113"/>
      <c r="K517" s="114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  <c r="AL517" s="114"/>
    </row>
    <row r="518" ht="18.0" customHeight="1">
      <c r="A518" s="113"/>
      <c r="B518" s="113"/>
      <c r="C518" s="113"/>
      <c r="D518" s="113"/>
      <c r="E518" s="113"/>
      <c r="F518" s="113"/>
      <c r="G518" s="113"/>
      <c r="H518" s="144"/>
      <c r="I518" s="113"/>
      <c r="J518" s="113"/>
      <c r="K518" s="114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  <c r="AL518" s="114"/>
    </row>
    <row r="519" ht="18.0" customHeight="1">
      <c r="A519" s="113"/>
      <c r="B519" s="113"/>
      <c r="C519" s="113"/>
      <c r="D519" s="113"/>
      <c r="E519" s="113"/>
      <c r="F519" s="113"/>
      <c r="G519" s="113"/>
      <c r="H519" s="144"/>
      <c r="I519" s="113"/>
      <c r="J519" s="113"/>
      <c r="K519" s="114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  <c r="AL519" s="114"/>
    </row>
    <row r="520" ht="18.0" customHeight="1">
      <c r="A520" s="113"/>
      <c r="B520" s="113"/>
      <c r="C520" s="113"/>
      <c r="D520" s="113"/>
      <c r="E520" s="113"/>
      <c r="F520" s="113"/>
      <c r="G520" s="113"/>
      <c r="H520" s="144"/>
      <c r="I520" s="113"/>
      <c r="J520" s="113"/>
      <c r="K520" s="114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  <c r="AL520" s="114"/>
    </row>
    <row r="521" ht="18.0" customHeight="1">
      <c r="A521" s="113"/>
      <c r="B521" s="113"/>
      <c r="C521" s="113"/>
      <c r="D521" s="113"/>
      <c r="E521" s="113"/>
      <c r="F521" s="113"/>
      <c r="G521" s="113"/>
      <c r="H521" s="144"/>
      <c r="I521" s="113"/>
      <c r="J521" s="113"/>
      <c r="K521" s="114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  <c r="AL521" s="114"/>
    </row>
    <row r="522" ht="18.0" customHeight="1">
      <c r="A522" s="113"/>
      <c r="B522" s="113"/>
      <c r="C522" s="113"/>
      <c r="D522" s="113"/>
      <c r="E522" s="113"/>
      <c r="F522" s="113"/>
      <c r="G522" s="113"/>
      <c r="H522" s="144"/>
      <c r="I522" s="113"/>
      <c r="J522" s="113"/>
      <c r="K522" s="114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4"/>
    </row>
    <row r="523" ht="18.0" customHeight="1">
      <c r="A523" s="113"/>
      <c r="B523" s="113"/>
      <c r="C523" s="113"/>
      <c r="D523" s="113"/>
      <c r="E523" s="113"/>
      <c r="F523" s="113"/>
      <c r="G523" s="113"/>
      <c r="H523" s="144"/>
      <c r="I523" s="113"/>
      <c r="J523" s="113"/>
      <c r="K523" s="114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  <c r="AL523" s="114"/>
    </row>
    <row r="524" ht="18.0" customHeight="1">
      <c r="A524" s="113"/>
      <c r="B524" s="113"/>
      <c r="C524" s="113"/>
      <c r="D524" s="113"/>
      <c r="E524" s="113"/>
      <c r="F524" s="113"/>
      <c r="G524" s="113"/>
      <c r="H524" s="144"/>
      <c r="I524" s="113"/>
      <c r="J524" s="113"/>
      <c r="K524" s="114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  <c r="AD524" s="113"/>
      <c r="AE524" s="113"/>
      <c r="AF524" s="113"/>
      <c r="AG524" s="113"/>
      <c r="AH524" s="113"/>
      <c r="AI524" s="113"/>
      <c r="AJ524" s="113"/>
      <c r="AK524" s="113"/>
      <c r="AL524" s="114"/>
    </row>
    <row r="525" ht="18.0" customHeight="1">
      <c r="A525" s="113"/>
      <c r="B525" s="113"/>
      <c r="C525" s="113"/>
      <c r="D525" s="113"/>
      <c r="E525" s="113"/>
      <c r="F525" s="113"/>
      <c r="G525" s="113"/>
      <c r="H525" s="144"/>
      <c r="I525" s="113"/>
      <c r="J525" s="113"/>
      <c r="K525" s="114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  <c r="AD525" s="113"/>
      <c r="AE525" s="113"/>
      <c r="AF525" s="113"/>
      <c r="AG525" s="113"/>
      <c r="AH525" s="113"/>
      <c r="AI525" s="113"/>
      <c r="AJ525" s="113"/>
      <c r="AK525" s="113"/>
      <c r="AL525" s="114"/>
    </row>
    <row r="526" ht="18.0" customHeight="1">
      <c r="A526" s="113"/>
      <c r="B526" s="113"/>
      <c r="C526" s="113"/>
      <c r="D526" s="113"/>
      <c r="E526" s="113"/>
      <c r="F526" s="113"/>
      <c r="G526" s="113"/>
      <c r="H526" s="144"/>
      <c r="I526" s="113"/>
      <c r="J526" s="113"/>
      <c r="K526" s="114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  <c r="AL526" s="114"/>
    </row>
    <row r="527" ht="18.0" customHeight="1">
      <c r="A527" s="113"/>
      <c r="B527" s="113"/>
      <c r="C527" s="113"/>
      <c r="D527" s="113"/>
      <c r="E527" s="113"/>
      <c r="F527" s="113"/>
      <c r="G527" s="113"/>
      <c r="H527" s="144"/>
      <c r="I527" s="113"/>
      <c r="J527" s="113"/>
      <c r="K527" s="114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  <c r="AL527" s="114"/>
    </row>
    <row r="528" ht="18.0" customHeight="1">
      <c r="A528" s="113"/>
      <c r="B528" s="113"/>
      <c r="C528" s="113"/>
      <c r="D528" s="113"/>
      <c r="E528" s="113"/>
      <c r="F528" s="113"/>
      <c r="G528" s="113"/>
      <c r="H528" s="144"/>
      <c r="I528" s="113"/>
      <c r="J528" s="113"/>
      <c r="K528" s="114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  <c r="AL528" s="114"/>
    </row>
    <row r="529" ht="18.0" customHeight="1">
      <c r="A529" s="113"/>
      <c r="B529" s="113"/>
      <c r="C529" s="113"/>
      <c r="D529" s="113"/>
      <c r="E529" s="113"/>
      <c r="F529" s="113"/>
      <c r="G529" s="113"/>
      <c r="H529" s="144"/>
      <c r="I529" s="113"/>
      <c r="J529" s="113"/>
      <c r="K529" s="114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3"/>
      <c r="AL529" s="114"/>
    </row>
    <row r="530" ht="18.0" customHeight="1">
      <c r="A530" s="113"/>
      <c r="B530" s="113"/>
      <c r="C530" s="113"/>
      <c r="D530" s="113"/>
      <c r="E530" s="113"/>
      <c r="F530" s="113"/>
      <c r="G530" s="113"/>
      <c r="H530" s="144"/>
      <c r="I530" s="113"/>
      <c r="J530" s="113"/>
      <c r="K530" s="114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  <c r="AL530" s="114"/>
    </row>
    <row r="531" ht="18.0" customHeight="1">
      <c r="A531" s="113"/>
      <c r="B531" s="113"/>
      <c r="C531" s="113"/>
      <c r="D531" s="113"/>
      <c r="E531" s="113"/>
      <c r="F531" s="113"/>
      <c r="G531" s="113"/>
      <c r="H531" s="144"/>
      <c r="I531" s="113"/>
      <c r="J531" s="113"/>
      <c r="K531" s="114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  <c r="AL531" s="114"/>
    </row>
    <row r="532" ht="18.0" customHeight="1">
      <c r="A532" s="113"/>
      <c r="B532" s="113"/>
      <c r="C532" s="113"/>
      <c r="D532" s="113"/>
      <c r="E532" s="113"/>
      <c r="F532" s="113"/>
      <c r="G532" s="113"/>
      <c r="H532" s="144"/>
      <c r="I532" s="113"/>
      <c r="J532" s="113"/>
      <c r="K532" s="114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  <c r="AL532" s="114"/>
    </row>
    <row r="533" ht="18.0" customHeight="1">
      <c r="A533" s="113"/>
      <c r="B533" s="113"/>
      <c r="C533" s="113"/>
      <c r="D533" s="113"/>
      <c r="E533" s="113"/>
      <c r="F533" s="113"/>
      <c r="G533" s="113"/>
      <c r="H533" s="144"/>
      <c r="I533" s="113"/>
      <c r="J533" s="113"/>
      <c r="K533" s="114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  <c r="AL533" s="114"/>
    </row>
    <row r="534" ht="18.0" customHeight="1">
      <c r="A534" s="113"/>
      <c r="B534" s="113"/>
      <c r="C534" s="113"/>
      <c r="D534" s="113"/>
      <c r="E534" s="113"/>
      <c r="F534" s="113"/>
      <c r="G534" s="113"/>
      <c r="H534" s="144"/>
      <c r="I534" s="113"/>
      <c r="J534" s="113"/>
      <c r="K534" s="114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  <c r="AL534" s="114"/>
    </row>
    <row r="535" ht="18.0" customHeight="1">
      <c r="A535" s="113"/>
      <c r="B535" s="113"/>
      <c r="C535" s="113"/>
      <c r="D535" s="113"/>
      <c r="E535" s="113"/>
      <c r="F535" s="113"/>
      <c r="G535" s="113"/>
      <c r="H535" s="144"/>
      <c r="I535" s="113"/>
      <c r="J535" s="113"/>
      <c r="K535" s="114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  <c r="AL535" s="114"/>
    </row>
    <row r="536" ht="18.0" customHeight="1">
      <c r="A536" s="113"/>
      <c r="B536" s="113"/>
      <c r="C536" s="113"/>
      <c r="D536" s="113"/>
      <c r="E536" s="113"/>
      <c r="F536" s="113"/>
      <c r="G536" s="113"/>
      <c r="H536" s="144"/>
      <c r="I536" s="113"/>
      <c r="J536" s="113"/>
      <c r="K536" s="114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  <c r="AL536" s="114"/>
    </row>
    <row r="537" ht="18.0" customHeight="1">
      <c r="A537" s="113"/>
      <c r="B537" s="113"/>
      <c r="C537" s="113"/>
      <c r="D537" s="113"/>
      <c r="E537" s="113"/>
      <c r="F537" s="113"/>
      <c r="G537" s="113"/>
      <c r="H537" s="144"/>
      <c r="I537" s="113"/>
      <c r="J537" s="113"/>
      <c r="K537" s="114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  <c r="AL537" s="114"/>
    </row>
    <row r="538" ht="18.0" customHeight="1">
      <c r="A538" s="113"/>
      <c r="B538" s="113"/>
      <c r="C538" s="113"/>
      <c r="D538" s="113"/>
      <c r="E538" s="113"/>
      <c r="F538" s="113"/>
      <c r="G538" s="113"/>
      <c r="H538" s="144"/>
      <c r="I538" s="113"/>
      <c r="J538" s="113"/>
      <c r="K538" s="114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  <c r="AL538" s="114"/>
    </row>
    <row r="539" ht="18.0" customHeight="1">
      <c r="A539" s="113"/>
      <c r="B539" s="113"/>
      <c r="C539" s="113"/>
      <c r="D539" s="113"/>
      <c r="E539" s="113"/>
      <c r="F539" s="113"/>
      <c r="G539" s="113"/>
      <c r="H539" s="144"/>
      <c r="I539" s="113"/>
      <c r="J539" s="113"/>
      <c r="K539" s="114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  <c r="AL539" s="114"/>
    </row>
    <row r="540" ht="18.0" customHeight="1">
      <c r="A540" s="113"/>
      <c r="B540" s="113"/>
      <c r="C540" s="113"/>
      <c r="D540" s="113"/>
      <c r="E540" s="113"/>
      <c r="F540" s="113"/>
      <c r="G540" s="113"/>
      <c r="H540" s="144"/>
      <c r="I540" s="113"/>
      <c r="J540" s="113"/>
      <c r="K540" s="114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3"/>
      <c r="AL540" s="114"/>
    </row>
    <row r="541" ht="18.0" customHeight="1">
      <c r="A541" s="113"/>
      <c r="B541" s="113"/>
      <c r="C541" s="113"/>
      <c r="D541" s="113"/>
      <c r="E541" s="113"/>
      <c r="F541" s="113"/>
      <c r="G541" s="113"/>
      <c r="H541" s="144"/>
      <c r="I541" s="113"/>
      <c r="J541" s="113"/>
      <c r="K541" s="114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  <c r="AL541" s="114"/>
    </row>
    <row r="542" ht="18.0" customHeight="1">
      <c r="A542" s="113"/>
      <c r="B542" s="113"/>
      <c r="C542" s="113"/>
      <c r="D542" s="113"/>
      <c r="E542" s="113"/>
      <c r="F542" s="113"/>
      <c r="G542" s="113"/>
      <c r="H542" s="144"/>
      <c r="I542" s="113"/>
      <c r="J542" s="113"/>
      <c r="K542" s="114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  <c r="AL542" s="114"/>
    </row>
    <row r="543" ht="18.0" customHeight="1">
      <c r="A543" s="113"/>
      <c r="B543" s="113"/>
      <c r="C543" s="113"/>
      <c r="D543" s="113"/>
      <c r="E543" s="113"/>
      <c r="F543" s="113"/>
      <c r="G543" s="113"/>
      <c r="H543" s="144"/>
      <c r="I543" s="113"/>
      <c r="J543" s="113"/>
      <c r="K543" s="114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  <c r="AL543" s="114"/>
    </row>
    <row r="544" ht="18.0" customHeight="1">
      <c r="A544" s="113"/>
      <c r="B544" s="113"/>
      <c r="C544" s="113"/>
      <c r="D544" s="113"/>
      <c r="E544" s="113"/>
      <c r="F544" s="113"/>
      <c r="G544" s="113"/>
      <c r="H544" s="144"/>
      <c r="I544" s="113"/>
      <c r="J544" s="113"/>
      <c r="K544" s="114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  <c r="AL544" s="114"/>
    </row>
    <row r="545" ht="18.0" customHeight="1">
      <c r="A545" s="113"/>
      <c r="B545" s="113"/>
      <c r="C545" s="113"/>
      <c r="D545" s="113"/>
      <c r="E545" s="113"/>
      <c r="F545" s="113"/>
      <c r="G545" s="113"/>
      <c r="H545" s="144"/>
      <c r="I545" s="113"/>
      <c r="J545" s="113"/>
      <c r="K545" s="114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3"/>
      <c r="AL545" s="114"/>
    </row>
    <row r="546" ht="18.0" customHeight="1">
      <c r="A546" s="113"/>
      <c r="B546" s="113"/>
      <c r="C546" s="113"/>
      <c r="D546" s="113"/>
      <c r="E546" s="113"/>
      <c r="F546" s="113"/>
      <c r="G546" s="113"/>
      <c r="H546" s="144"/>
      <c r="I546" s="113"/>
      <c r="J546" s="113"/>
      <c r="K546" s="114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  <c r="AL546" s="114"/>
    </row>
    <row r="547" ht="18.0" customHeight="1">
      <c r="A547" s="113"/>
      <c r="B547" s="113"/>
      <c r="C547" s="113"/>
      <c r="D547" s="113"/>
      <c r="E547" s="113"/>
      <c r="F547" s="113"/>
      <c r="G547" s="113"/>
      <c r="H547" s="144"/>
      <c r="I547" s="113"/>
      <c r="J547" s="113"/>
      <c r="K547" s="114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  <c r="AL547" s="114"/>
    </row>
    <row r="548" ht="18.0" customHeight="1">
      <c r="A548" s="113"/>
      <c r="B548" s="113"/>
      <c r="C548" s="113"/>
      <c r="D548" s="113"/>
      <c r="E548" s="113"/>
      <c r="F548" s="113"/>
      <c r="G548" s="113"/>
      <c r="H548" s="144"/>
      <c r="I548" s="113"/>
      <c r="J548" s="113"/>
      <c r="K548" s="114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3"/>
      <c r="AL548" s="114"/>
    </row>
    <row r="549" ht="18.0" customHeight="1">
      <c r="A549" s="113"/>
      <c r="B549" s="113"/>
      <c r="C549" s="113"/>
      <c r="D549" s="113"/>
      <c r="E549" s="113"/>
      <c r="F549" s="113"/>
      <c r="G549" s="113"/>
      <c r="H549" s="144"/>
      <c r="I549" s="113"/>
      <c r="J549" s="113"/>
      <c r="K549" s="114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  <c r="AL549" s="114"/>
    </row>
    <row r="550" ht="18.0" customHeight="1">
      <c r="A550" s="113"/>
      <c r="B550" s="113"/>
      <c r="C550" s="113"/>
      <c r="D550" s="113"/>
      <c r="E550" s="113"/>
      <c r="F550" s="113"/>
      <c r="G550" s="113"/>
      <c r="H550" s="144"/>
      <c r="I550" s="113"/>
      <c r="J550" s="113"/>
      <c r="K550" s="114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  <c r="AL550" s="114"/>
    </row>
    <row r="551" ht="18.0" customHeight="1">
      <c r="A551" s="113"/>
      <c r="B551" s="113"/>
      <c r="C551" s="113"/>
      <c r="D551" s="113"/>
      <c r="E551" s="113"/>
      <c r="F551" s="113"/>
      <c r="G551" s="113"/>
      <c r="H551" s="144"/>
      <c r="I551" s="113"/>
      <c r="J551" s="113"/>
      <c r="K551" s="114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3"/>
      <c r="AL551" s="114"/>
    </row>
    <row r="552" ht="18.0" customHeight="1">
      <c r="A552" s="113"/>
      <c r="B552" s="113"/>
      <c r="C552" s="113"/>
      <c r="D552" s="113"/>
      <c r="E552" s="113"/>
      <c r="F552" s="113"/>
      <c r="G552" s="113"/>
      <c r="H552" s="144"/>
      <c r="I552" s="113"/>
      <c r="J552" s="113"/>
      <c r="K552" s="114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  <c r="AL552" s="114"/>
    </row>
    <row r="553" ht="18.0" customHeight="1">
      <c r="A553" s="113"/>
      <c r="B553" s="113"/>
      <c r="C553" s="113"/>
      <c r="D553" s="113"/>
      <c r="E553" s="113"/>
      <c r="F553" s="113"/>
      <c r="G553" s="113"/>
      <c r="H553" s="144"/>
      <c r="I553" s="113"/>
      <c r="J553" s="113"/>
      <c r="K553" s="114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3"/>
      <c r="AL553" s="114"/>
    </row>
    <row r="554" ht="18.0" customHeight="1">
      <c r="A554" s="113"/>
      <c r="B554" s="113"/>
      <c r="C554" s="113"/>
      <c r="D554" s="113"/>
      <c r="E554" s="113"/>
      <c r="F554" s="113"/>
      <c r="G554" s="113"/>
      <c r="H554" s="144"/>
      <c r="I554" s="113"/>
      <c r="J554" s="113"/>
      <c r="K554" s="114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  <c r="AL554" s="114"/>
    </row>
    <row r="555" ht="18.0" customHeight="1">
      <c r="A555" s="113"/>
      <c r="B555" s="113"/>
      <c r="C555" s="113"/>
      <c r="D555" s="113"/>
      <c r="E555" s="113"/>
      <c r="F555" s="113"/>
      <c r="G555" s="113"/>
      <c r="H555" s="144"/>
      <c r="I555" s="113"/>
      <c r="J555" s="113"/>
      <c r="K555" s="114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  <c r="AL555" s="114"/>
    </row>
    <row r="556" ht="18.0" customHeight="1">
      <c r="A556" s="113"/>
      <c r="B556" s="113"/>
      <c r="C556" s="113"/>
      <c r="D556" s="113"/>
      <c r="E556" s="113"/>
      <c r="F556" s="113"/>
      <c r="G556" s="113"/>
      <c r="H556" s="144"/>
      <c r="I556" s="113"/>
      <c r="J556" s="113"/>
      <c r="K556" s="114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  <c r="AL556" s="114"/>
    </row>
    <row r="557" ht="18.0" customHeight="1">
      <c r="A557" s="113"/>
      <c r="B557" s="113"/>
      <c r="C557" s="113"/>
      <c r="D557" s="113"/>
      <c r="E557" s="113"/>
      <c r="F557" s="113"/>
      <c r="G557" s="113"/>
      <c r="H557" s="144"/>
      <c r="I557" s="113"/>
      <c r="J557" s="113"/>
      <c r="K557" s="114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  <c r="AL557" s="114"/>
    </row>
    <row r="558" ht="18.0" customHeight="1">
      <c r="A558" s="113"/>
      <c r="B558" s="113"/>
      <c r="C558" s="113"/>
      <c r="D558" s="113"/>
      <c r="E558" s="113"/>
      <c r="F558" s="113"/>
      <c r="G558" s="113"/>
      <c r="H558" s="144"/>
      <c r="I558" s="113"/>
      <c r="J558" s="113"/>
      <c r="K558" s="114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  <c r="AL558" s="114"/>
    </row>
    <row r="559" ht="18.0" customHeight="1">
      <c r="A559" s="113"/>
      <c r="B559" s="113"/>
      <c r="C559" s="113"/>
      <c r="D559" s="113"/>
      <c r="E559" s="113"/>
      <c r="F559" s="113"/>
      <c r="G559" s="113"/>
      <c r="H559" s="144"/>
      <c r="I559" s="113"/>
      <c r="J559" s="113"/>
      <c r="K559" s="114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3"/>
      <c r="AL559" s="114"/>
    </row>
    <row r="560" ht="18.0" customHeight="1">
      <c r="A560" s="113"/>
      <c r="B560" s="113"/>
      <c r="C560" s="113"/>
      <c r="D560" s="113"/>
      <c r="E560" s="113"/>
      <c r="F560" s="113"/>
      <c r="G560" s="113"/>
      <c r="H560" s="144"/>
      <c r="I560" s="113"/>
      <c r="J560" s="113"/>
      <c r="K560" s="114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4"/>
    </row>
    <row r="561" ht="18.0" customHeight="1">
      <c r="A561" s="113"/>
      <c r="B561" s="113"/>
      <c r="C561" s="113"/>
      <c r="D561" s="113"/>
      <c r="E561" s="113"/>
      <c r="F561" s="113"/>
      <c r="G561" s="113"/>
      <c r="H561" s="144"/>
      <c r="I561" s="113"/>
      <c r="J561" s="113"/>
      <c r="K561" s="114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  <c r="AL561" s="114"/>
    </row>
    <row r="562" ht="18.0" customHeight="1">
      <c r="A562" s="113"/>
      <c r="B562" s="113"/>
      <c r="C562" s="113"/>
      <c r="D562" s="113"/>
      <c r="E562" s="113"/>
      <c r="F562" s="113"/>
      <c r="G562" s="113"/>
      <c r="H562" s="144"/>
      <c r="I562" s="113"/>
      <c r="J562" s="113"/>
      <c r="K562" s="114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  <c r="AL562" s="114"/>
    </row>
    <row r="563" ht="18.0" customHeight="1">
      <c r="A563" s="113"/>
      <c r="B563" s="113"/>
      <c r="C563" s="113"/>
      <c r="D563" s="113"/>
      <c r="E563" s="113"/>
      <c r="F563" s="113"/>
      <c r="G563" s="113"/>
      <c r="H563" s="144"/>
      <c r="I563" s="113"/>
      <c r="J563" s="113"/>
      <c r="K563" s="114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3"/>
      <c r="AL563" s="114"/>
    </row>
    <row r="564" ht="18.0" customHeight="1">
      <c r="A564" s="113"/>
      <c r="B564" s="113"/>
      <c r="C564" s="113"/>
      <c r="D564" s="113"/>
      <c r="E564" s="113"/>
      <c r="F564" s="113"/>
      <c r="G564" s="113"/>
      <c r="H564" s="144"/>
      <c r="I564" s="113"/>
      <c r="J564" s="113"/>
      <c r="K564" s="114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  <c r="AL564" s="114"/>
    </row>
    <row r="565" ht="18.0" customHeight="1">
      <c r="A565" s="113"/>
      <c r="B565" s="113"/>
      <c r="C565" s="113"/>
      <c r="D565" s="113"/>
      <c r="E565" s="113"/>
      <c r="F565" s="113"/>
      <c r="G565" s="113"/>
      <c r="H565" s="144"/>
      <c r="I565" s="113"/>
      <c r="J565" s="113"/>
      <c r="K565" s="114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  <c r="AL565" s="114"/>
    </row>
    <row r="566" ht="18.0" customHeight="1">
      <c r="A566" s="113"/>
      <c r="B566" s="113"/>
      <c r="C566" s="113"/>
      <c r="D566" s="113"/>
      <c r="E566" s="113"/>
      <c r="F566" s="113"/>
      <c r="G566" s="113"/>
      <c r="H566" s="144"/>
      <c r="I566" s="113"/>
      <c r="J566" s="113"/>
      <c r="K566" s="114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  <c r="AL566" s="114"/>
    </row>
    <row r="567" ht="18.0" customHeight="1">
      <c r="A567" s="113"/>
      <c r="B567" s="113"/>
      <c r="C567" s="113"/>
      <c r="D567" s="113"/>
      <c r="E567" s="113"/>
      <c r="F567" s="113"/>
      <c r="G567" s="113"/>
      <c r="H567" s="144"/>
      <c r="I567" s="113"/>
      <c r="J567" s="113"/>
      <c r="K567" s="114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  <c r="AL567" s="114"/>
    </row>
    <row r="568" ht="18.0" customHeight="1">
      <c r="A568" s="113"/>
      <c r="B568" s="113"/>
      <c r="C568" s="113"/>
      <c r="D568" s="113"/>
      <c r="E568" s="113"/>
      <c r="F568" s="113"/>
      <c r="G568" s="113"/>
      <c r="H568" s="144"/>
      <c r="I568" s="113"/>
      <c r="J568" s="113"/>
      <c r="K568" s="114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3"/>
      <c r="AL568" s="114"/>
    </row>
    <row r="569" ht="18.0" customHeight="1">
      <c r="A569" s="113"/>
      <c r="B569" s="113"/>
      <c r="C569" s="113"/>
      <c r="D569" s="113"/>
      <c r="E569" s="113"/>
      <c r="F569" s="113"/>
      <c r="G569" s="113"/>
      <c r="H569" s="144"/>
      <c r="I569" s="113"/>
      <c r="J569" s="113"/>
      <c r="K569" s="114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  <c r="AL569" s="114"/>
    </row>
    <row r="570" ht="18.0" customHeight="1">
      <c r="A570" s="113"/>
      <c r="B570" s="113"/>
      <c r="C570" s="113"/>
      <c r="D570" s="113"/>
      <c r="E570" s="113"/>
      <c r="F570" s="113"/>
      <c r="G570" s="113"/>
      <c r="H570" s="144"/>
      <c r="I570" s="113"/>
      <c r="J570" s="113"/>
      <c r="K570" s="114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  <c r="AL570" s="114"/>
    </row>
    <row r="571" ht="18.0" customHeight="1">
      <c r="A571" s="113"/>
      <c r="B571" s="113"/>
      <c r="C571" s="113"/>
      <c r="D571" s="113"/>
      <c r="E571" s="113"/>
      <c r="F571" s="113"/>
      <c r="G571" s="113"/>
      <c r="H571" s="144"/>
      <c r="I571" s="113"/>
      <c r="J571" s="113"/>
      <c r="K571" s="114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  <c r="AL571" s="114"/>
    </row>
    <row r="572" ht="18.0" customHeight="1">
      <c r="A572" s="113"/>
      <c r="B572" s="113"/>
      <c r="C572" s="113"/>
      <c r="D572" s="113"/>
      <c r="E572" s="113"/>
      <c r="F572" s="113"/>
      <c r="G572" s="113"/>
      <c r="H572" s="144"/>
      <c r="I572" s="113"/>
      <c r="J572" s="113"/>
      <c r="K572" s="114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3"/>
      <c r="AL572" s="114"/>
    </row>
    <row r="573" ht="18.0" customHeight="1">
      <c r="A573" s="113"/>
      <c r="B573" s="113"/>
      <c r="C573" s="113"/>
      <c r="D573" s="113"/>
      <c r="E573" s="113"/>
      <c r="F573" s="113"/>
      <c r="G573" s="113"/>
      <c r="H573" s="144"/>
      <c r="I573" s="113"/>
      <c r="J573" s="113"/>
      <c r="K573" s="114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  <c r="AL573" s="114"/>
    </row>
    <row r="574" ht="18.0" customHeight="1">
      <c r="A574" s="113"/>
      <c r="B574" s="113"/>
      <c r="C574" s="113"/>
      <c r="D574" s="113"/>
      <c r="E574" s="113"/>
      <c r="F574" s="113"/>
      <c r="G574" s="113"/>
      <c r="H574" s="144"/>
      <c r="I574" s="113"/>
      <c r="J574" s="113"/>
      <c r="K574" s="114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  <c r="AL574" s="114"/>
    </row>
    <row r="575" ht="18.0" customHeight="1">
      <c r="A575" s="113"/>
      <c r="B575" s="113"/>
      <c r="C575" s="113"/>
      <c r="D575" s="113"/>
      <c r="E575" s="113"/>
      <c r="F575" s="113"/>
      <c r="G575" s="113"/>
      <c r="H575" s="144"/>
      <c r="I575" s="113"/>
      <c r="J575" s="113"/>
      <c r="K575" s="114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  <c r="AL575" s="114"/>
    </row>
    <row r="576" ht="18.0" customHeight="1">
      <c r="A576" s="113"/>
      <c r="B576" s="113"/>
      <c r="C576" s="113"/>
      <c r="D576" s="113"/>
      <c r="E576" s="113"/>
      <c r="F576" s="113"/>
      <c r="G576" s="113"/>
      <c r="H576" s="144"/>
      <c r="I576" s="113"/>
      <c r="J576" s="113"/>
      <c r="K576" s="114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  <c r="AL576" s="114"/>
    </row>
    <row r="577" ht="18.0" customHeight="1">
      <c r="A577" s="113"/>
      <c r="B577" s="113"/>
      <c r="C577" s="113"/>
      <c r="D577" s="113"/>
      <c r="E577" s="113"/>
      <c r="F577" s="113"/>
      <c r="G577" s="113"/>
      <c r="H577" s="144"/>
      <c r="I577" s="113"/>
      <c r="J577" s="113"/>
      <c r="K577" s="114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  <c r="AL577" s="114"/>
    </row>
    <row r="578" ht="18.0" customHeight="1">
      <c r="A578" s="113"/>
      <c r="B578" s="113"/>
      <c r="C578" s="113"/>
      <c r="D578" s="113"/>
      <c r="E578" s="113"/>
      <c r="F578" s="113"/>
      <c r="G578" s="113"/>
      <c r="H578" s="144"/>
      <c r="I578" s="113"/>
      <c r="J578" s="113"/>
      <c r="K578" s="114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3"/>
      <c r="AL578" s="114"/>
    </row>
    <row r="579" ht="18.0" customHeight="1">
      <c r="A579" s="113"/>
      <c r="B579" s="113"/>
      <c r="C579" s="113"/>
      <c r="D579" s="113"/>
      <c r="E579" s="113"/>
      <c r="F579" s="113"/>
      <c r="G579" s="113"/>
      <c r="H579" s="144"/>
      <c r="I579" s="113"/>
      <c r="J579" s="113"/>
      <c r="K579" s="114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3"/>
      <c r="AL579" s="114"/>
    </row>
    <row r="580" ht="18.0" customHeight="1">
      <c r="A580" s="113"/>
      <c r="B580" s="113"/>
      <c r="C580" s="113"/>
      <c r="D580" s="113"/>
      <c r="E580" s="113"/>
      <c r="F580" s="113"/>
      <c r="G580" s="113"/>
      <c r="H580" s="144"/>
      <c r="I580" s="113"/>
      <c r="J580" s="113"/>
      <c r="K580" s="114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  <c r="AL580" s="114"/>
    </row>
    <row r="581" ht="18.0" customHeight="1">
      <c r="A581" s="113"/>
      <c r="B581" s="113"/>
      <c r="C581" s="113"/>
      <c r="D581" s="113"/>
      <c r="E581" s="113"/>
      <c r="F581" s="113"/>
      <c r="G581" s="113"/>
      <c r="H581" s="144"/>
      <c r="I581" s="113"/>
      <c r="J581" s="113"/>
      <c r="K581" s="114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3"/>
      <c r="AL581" s="114"/>
    </row>
    <row r="582" ht="18.0" customHeight="1">
      <c r="A582" s="113"/>
      <c r="B582" s="113"/>
      <c r="C582" s="113"/>
      <c r="D582" s="113"/>
      <c r="E582" s="113"/>
      <c r="F582" s="113"/>
      <c r="G582" s="113"/>
      <c r="H582" s="144"/>
      <c r="I582" s="113"/>
      <c r="J582" s="113"/>
      <c r="K582" s="114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  <c r="AL582" s="114"/>
    </row>
    <row r="583" ht="18.0" customHeight="1">
      <c r="A583" s="113"/>
      <c r="B583" s="113"/>
      <c r="C583" s="113"/>
      <c r="D583" s="113"/>
      <c r="E583" s="113"/>
      <c r="F583" s="113"/>
      <c r="G583" s="113"/>
      <c r="H583" s="144"/>
      <c r="I583" s="113"/>
      <c r="J583" s="113"/>
      <c r="K583" s="114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  <c r="AL583" s="114"/>
    </row>
    <row r="584" ht="18.0" customHeight="1">
      <c r="A584" s="113"/>
      <c r="B584" s="113"/>
      <c r="C584" s="113"/>
      <c r="D584" s="113"/>
      <c r="E584" s="113"/>
      <c r="F584" s="113"/>
      <c r="G584" s="113"/>
      <c r="H584" s="144"/>
      <c r="I584" s="113"/>
      <c r="J584" s="113"/>
      <c r="K584" s="114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  <c r="AL584" s="114"/>
    </row>
    <row r="585" ht="18.0" customHeight="1">
      <c r="A585" s="113"/>
      <c r="B585" s="113"/>
      <c r="C585" s="113"/>
      <c r="D585" s="113"/>
      <c r="E585" s="113"/>
      <c r="F585" s="113"/>
      <c r="G585" s="113"/>
      <c r="H585" s="144"/>
      <c r="I585" s="113"/>
      <c r="J585" s="113"/>
      <c r="K585" s="114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  <c r="AL585" s="114"/>
    </row>
    <row r="586" ht="18.0" customHeight="1">
      <c r="A586" s="113"/>
      <c r="B586" s="113"/>
      <c r="C586" s="113"/>
      <c r="D586" s="113"/>
      <c r="E586" s="113"/>
      <c r="F586" s="113"/>
      <c r="G586" s="113"/>
      <c r="H586" s="144"/>
      <c r="I586" s="113"/>
      <c r="J586" s="113"/>
      <c r="K586" s="114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  <c r="AL586" s="114"/>
    </row>
    <row r="587" ht="18.0" customHeight="1">
      <c r="A587" s="113"/>
      <c r="B587" s="113"/>
      <c r="C587" s="113"/>
      <c r="D587" s="113"/>
      <c r="E587" s="113"/>
      <c r="F587" s="113"/>
      <c r="G587" s="113"/>
      <c r="H587" s="144"/>
      <c r="I587" s="113"/>
      <c r="J587" s="113"/>
      <c r="K587" s="114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  <c r="AL587" s="114"/>
    </row>
    <row r="588" ht="18.0" customHeight="1">
      <c r="A588" s="113"/>
      <c r="B588" s="113"/>
      <c r="C588" s="113"/>
      <c r="D588" s="113"/>
      <c r="E588" s="113"/>
      <c r="F588" s="113"/>
      <c r="G588" s="113"/>
      <c r="H588" s="144"/>
      <c r="I588" s="113"/>
      <c r="J588" s="113"/>
      <c r="K588" s="114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4"/>
    </row>
    <row r="589" ht="18.0" customHeight="1">
      <c r="A589" s="113"/>
      <c r="B589" s="113"/>
      <c r="C589" s="113"/>
      <c r="D589" s="113"/>
      <c r="E589" s="113"/>
      <c r="F589" s="113"/>
      <c r="G589" s="113"/>
      <c r="H589" s="144"/>
      <c r="I589" s="113"/>
      <c r="J589" s="113"/>
      <c r="K589" s="114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  <c r="AL589" s="114"/>
    </row>
    <row r="590" ht="18.0" customHeight="1">
      <c r="A590" s="113"/>
      <c r="B590" s="113"/>
      <c r="C590" s="113"/>
      <c r="D590" s="113"/>
      <c r="E590" s="113"/>
      <c r="F590" s="113"/>
      <c r="G590" s="113"/>
      <c r="H590" s="144"/>
      <c r="I590" s="113"/>
      <c r="J590" s="113"/>
      <c r="K590" s="114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  <c r="AL590" s="114"/>
    </row>
    <row r="591" ht="18.0" customHeight="1">
      <c r="A591" s="113"/>
      <c r="B591" s="113"/>
      <c r="C591" s="113"/>
      <c r="D591" s="113"/>
      <c r="E591" s="113"/>
      <c r="F591" s="113"/>
      <c r="G591" s="113"/>
      <c r="H591" s="144"/>
      <c r="I591" s="113"/>
      <c r="J591" s="113"/>
      <c r="K591" s="114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  <c r="AL591" s="114"/>
    </row>
    <row r="592" ht="18.0" customHeight="1">
      <c r="A592" s="113"/>
      <c r="B592" s="113"/>
      <c r="C592" s="113"/>
      <c r="D592" s="113"/>
      <c r="E592" s="113"/>
      <c r="F592" s="113"/>
      <c r="G592" s="113"/>
      <c r="H592" s="144"/>
      <c r="I592" s="113"/>
      <c r="J592" s="113"/>
      <c r="K592" s="114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  <c r="AL592" s="114"/>
    </row>
    <row r="593" ht="18.0" customHeight="1">
      <c r="A593" s="113"/>
      <c r="B593" s="113"/>
      <c r="C593" s="113"/>
      <c r="D593" s="113"/>
      <c r="E593" s="113"/>
      <c r="F593" s="113"/>
      <c r="G593" s="113"/>
      <c r="H593" s="144"/>
      <c r="I593" s="113"/>
      <c r="J593" s="113"/>
      <c r="K593" s="114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  <c r="AL593" s="114"/>
    </row>
    <row r="594" ht="18.0" customHeight="1">
      <c r="A594" s="113"/>
      <c r="B594" s="113"/>
      <c r="C594" s="113"/>
      <c r="D594" s="113"/>
      <c r="E594" s="113"/>
      <c r="F594" s="113"/>
      <c r="G594" s="113"/>
      <c r="H594" s="144"/>
      <c r="I594" s="113"/>
      <c r="J594" s="113"/>
      <c r="K594" s="114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  <c r="AL594" s="114"/>
    </row>
    <row r="595" ht="18.0" customHeight="1">
      <c r="A595" s="113"/>
      <c r="B595" s="113"/>
      <c r="C595" s="113"/>
      <c r="D595" s="113"/>
      <c r="E595" s="113"/>
      <c r="F595" s="113"/>
      <c r="G595" s="113"/>
      <c r="H595" s="144"/>
      <c r="I595" s="113"/>
      <c r="J595" s="113"/>
      <c r="K595" s="114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  <c r="AL595" s="114"/>
    </row>
    <row r="596" ht="18.0" customHeight="1">
      <c r="A596" s="113"/>
      <c r="B596" s="113"/>
      <c r="C596" s="113"/>
      <c r="D596" s="113"/>
      <c r="E596" s="113"/>
      <c r="F596" s="113"/>
      <c r="G596" s="113"/>
      <c r="H596" s="144"/>
      <c r="I596" s="113"/>
      <c r="J596" s="113"/>
      <c r="K596" s="114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3"/>
      <c r="AL596" s="114"/>
    </row>
    <row r="597" ht="18.0" customHeight="1">
      <c r="A597" s="113"/>
      <c r="B597" s="113"/>
      <c r="C597" s="113"/>
      <c r="D597" s="113"/>
      <c r="E597" s="113"/>
      <c r="F597" s="113"/>
      <c r="G597" s="113"/>
      <c r="H597" s="144"/>
      <c r="I597" s="113"/>
      <c r="J597" s="113"/>
      <c r="K597" s="114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  <c r="AL597" s="114"/>
    </row>
    <row r="598" ht="18.0" customHeight="1">
      <c r="A598" s="113"/>
      <c r="B598" s="113"/>
      <c r="C598" s="113"/>
      <c r="D598" s="113"/>
      <c r="E598" s="113"/>
      <c r="F598" s="113"/>
      <c r="G598" s="113"/>
      <c r="H598" s="144"/>
      <c r="I598" s="113"/>
      <c r="J598" s="113"/>
      <c r="K598" s="114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4"/>
    </row>
    <row r="599" ht="18.0" customHeight="1">
      <c r="A599" s="113"/>
      <c r="B599" s="113"/>
      <c r="C599" s="113"/>
      <c r="D599" s="113"/>
      <c r="E599" s="113"/>
      <c r="F599" s="113"/>
      <c r="G599" s="113"/>
      <c r="H599" s="144"/>
      <c r="I599" s="113"/>
      <c r="J599" s="113"/>
      <c r="K599" s="114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  <c r="AL599" s="114"/>
    </row>
    <row r="600" ht="18.0" customHeight="1">
      <c r="A600" s="113"/>
      <c r="B600" s="113"/>
      <c r="C600" s="113"/>
      <c r="D600" s="113"/>
      <c r="E600" s="113"/>
      <c r="F600" s="113"/>
      <c r="G600" s="113"/>
      <c r="H600" s="144"/>
      <c r="I600" s="113"/>
      <c r="J600" s="113"/>
      <c r="K600" s="114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  <c r="AL600" s="114"/>
    </row>
    <row r="601" ht="18.0" customHeight="1">
      <c r="A601" s="113"/>
      <c r="B601" s="113"/>
      <c r="C601" s="113"/>
      <c r="D601" s="113"/>
      <c r="E601" s="113"/>
      <c r="F601" s="113"/>
      <c r="G601" s="113"/>
      <c r="H601" s="144"/>
      <c r="I601" s="113"/>
      <c r="J601" s="113"/>
      <c r="K601" s="114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  <c r="AL601" s="114"/>
    </row>
    <row r="602" ht="18.0" customHeight="1">
      <c r="A602" s="113"/>
      <c r="B602" s="113"/>
      <c r="C602" s="113"/>
      <c r="D602" s="113"/>
      <c r="E602" s="113"/>
      <c r="F602" s="113"/>
      <c r="G602" s="113"/>
      <c r="H602" s="144"/>
      <c r="I602" s="113"/>
      <c r="J602" s="113"/>
      <c r="K602" s="114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  <c r="AL602" s="114"/>
    </row>
    <row r="603" ht="18.0" customHeight="1">
      <c r="A603" s="113"/>
      <c r="B603" s="113"/>
      <c r="C603" s="113"/>
      <c r="D603" s="113"/>
      <c r="E603" s="113"/>
      <c r="F603" s="113"/>
      <c r="G603" s="113"/>
      <c r="H603" s="144"/>
      <c r="I603" s="113"/>
      <c r="J603" s="113"/>
      <c r="K603" s="114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3"/>
      <c r="AL603" s="114"/>
    </row>
    <row r="604" ht="18.0" customHeight="1">
      <c r="A604" s="113"/>
      <c r="B604" s="113"/>
      <c r="C604" s="113"/>
      <c r="D604" s="113"/>
      <c r="E604" s="113"/>
      <c r="F604" s="113"/>
      <c r="G604" s="113"/>
      <c r="H604" s="144"/>
      <c r="I604" s="113"/>
      <c r="J604" s="113"/>
      <c r="K604" s="114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  <c r="AL604" s="114"/>
    </row>
    <row r="605" ht="18.0" customHeight="1">
      <c r="A605" s="113"/>
      <c r="B605" s="113"/>
      <c r="C605" s="113"/>
      <c r="D605" s="113"/>
      <c r="E605" s="113"/>
      <c r="F605" s="113"/>
      <c r="G605" s="113"/>
      <c r="H605" s="144"/>
      <c r="I605" s="113"/>
      <c r="J605" s="113"/>
      <c r="K605" s="114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  <c r="AD605" s="113"/>
      <c r="AE605" s="113"/>
      <c r="AF605" s="113"/>
      <c r="AG605" s="113"/>
      <c r="AH605" s="113"/>
      <c r="AI605" s="113"/>
      <c r="AJ605" s="113"/>
      <c r="AK605" s="113"/>
      <c r="AL605" s="114"/>
    </row>
    <row r="606" ht="18.0" customHeight="1">
      <c r="A606" s="113"/>
      <c r="B606" s="113"/>
      <c r="C606" s="113"/>
      <c r="D606" s="113"/>
      <c r="E606" s="113"/>
      <c r="F606" s="113"/>
      <c r="G606" s="113"/>
      <c r="H606" s="144"/>
      <c r="I606" s="113"/>
      <c r="J606" s="113"/>
      <c r="K606" s="114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  <c r="AL606" s="114"/>
    </row>
    <row r="607" ht="18.0" customHeight="1">
      <c r="A607" s="113"/>
      <c r="B607" s="113"/>
      <c r="C607" s="113"/>
      <c r="D607" s="113"/>
      <c r="E607" s="113"/>
      <c r="F607" s="113"/>
      <c r="G607" s="113"/>
      <c r="H607" s="144"/>
      <c r="I607" s="113"/>
      <c r="J607" s="113"/>
      <c r="K607" s="114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  <c r="AL607" s="114"/>
    </row>
    <row r="608" ht="18.0" customHeight="1">
      <c r="A608" s="113"/>
      <c r="B608" s="113"/>
      <c r="C608" s="113"/>
      <c r="D608" s="113"/>
      <c r="E608" s="113"/>
      <c r="F608" s="113"/>
      <c r="G608" s="113"/>
      <c r="H608" s="144"/>
      <c r="I608" s="113"/>
      <c r="J608" s="113"/>
      <c r="K608" s="114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  <c r="AL608" s="114"/>
    </row>
    <row r="609" ht="18.0" customHeight="1">
      <c r="A609" s="113"/>
      <c r="B609" s="113"/>
      <c r="C609" s="113"/>
      <c r="D609" s="113"/>
      <c r="E609" s="113"/>
      <c r="F609" s="113"/>
      <c r="G609" s="113"/>
      <c r="H609" s="144"/>
      <c r="I609" s="113"/>
      <c r="J609" s="113"/>
      <c r="K609" s="114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  <c r="AL609" s="114"/>
    </row>
    <row r="610" ht="18.0" customHeight="1">
      <c r="A610" s="113"/>
      <c r="B610" s="113"/>
      <c r="C610" s="113"/>
      <c r="D610" s="113"/>
      <c r="E610" s="113"/>
      <c r="F610" s="113"/>
      <c r="G610" s="113"/>
      <c r="H610" s="144"/>
      <c r="I610" s="113"/>
      <c r="J610" s="113"/>
      <c r="K610" s="114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  <c r="AL610" s="114"/>
    </row>
    <row r="611" ht="18.0" customHeight="1">
      <c r="A611" s="113"/>
      <c r="B611" s="113"/>
      <c r="C611" s="113"/>
      <c r="D611" s="113"/>
      <c r="E611" s="113"/>
      <c r="F611" s="113"/>
      <c r="G611" s="113"/>
      <c r="H611" s="144"/>
      <c r="I611" s="113"/>
      <c r="J611" s="113"/>
      <c r="K611" s="114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  <c r="AL611" s="114"/>
    </row>
    <row r="612" ht="18.0" customHeight="1">
      <c r="A612" s="113"/>
      <c r="B612" s="113"/>
      <c r="C612" s="113"/>
      <c r="D612" s="113"/>
      <c r="E612" s="113"/>
      <c r="F612" s="113"/>
      <c r="G612" s="113"/>
      <c r="H612" s="144"/>
      <c r="I612" s="113"/>
      <c r="J612" s="113"/>
      <c r="K612" s="114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  <c r="AL612" s="114"/>
    </row>
    <row r="613" ht="18.0" customHeight="1">
      <c r="A613" s="113"/>
      <c r="B613" s="113"/>
      <c r="C613" s="113"/>
      <c r="D613" s="113"/>
      <c r="E613" s="113"/>
      <c r="F613" s="113"/>
      <c r="G613" s="113"/>
      <c r="H613" s="144"/>
      <c r="I613" s="113"/>
      <c r="J613" s="113"/>
      <c r="K613" s="114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  <c r="AL613" s="114"/>
    </row>
    <row r="614" ht="18.0" customHeight="1">
      <c r="A614" s="113"/>
      <c r="B614" s="113"/>
      <c r="C614" s="113"/>
      <c r="D614" s="113"/>
      <c r="E614" s="113"/>
      <c r="F614" s="113"/>
      <c r="G614" s="113"/>
      <c r="H614" s="144"/>
      <c r="I614" s="113"/>
      <c r="J614" s="113"/>
      <c r="K614" s="114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3"/>
      <c r="AL614" s="114"/>
    </row>
    <row r="615" ht="18.0" customHeight="1">
      <c r="A615" s="113"/>
      <c r="B615" s="113"/>
      <c r="C615" s="113"/>
      <c r="D615" s="113"/>
      <c r="E615" s="113"/>
      <c r="F615" s="113"/>
      <c r="G615" s="113"/>
      <c r="H615" s="144"/>
      <c r="I615" s="113"/>
      <c r="J615" s="113"/>
      <c r="K615" s="114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  <c r="AL615" s="114"/>
    </row>
    <row r="616" ht="18.0" customHeight="1">
      <c r="A616" s="113"/>
      <c r="B616" s="113"/>
      <c r="C616" s="113"/>
      <c r="D616" s="113"/>
      <c r="E616" s="113"/>
      <c r="F616" s="113"/>
      <c r="G616" s="113"/>
      <c r="H616" s="144"/>
      <c r="I616" s="113"/>
      <c r="J616" s="113"/>
      <c r="K616" s="114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3"/>
      <c r="AL616" s="114"/>
    </row>
    <row r="617" ht="18.0" customHeight="1">
      <c r="A617" s="113"/>
      <c r="B617" s="113"/>
      <c r="C617" s="113"/>
      <c r="D617" s="113"/>
      <c r="E617" s="113"/>
      <c r="F617" s="113"/>
      <c r="G617" s="113"/>
      <c r="H617" s="144"/>
      <c r="I617" s="113"/>
      <c r="J617" s="113"/>
      <c r="K617" s="114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  <c r="AL617" s="114"/>
    </row>
    <row r="618" ht="18.0" customHeight="1">
      <c r="A618" s="113"/>
      <c r="B618" s="113"/>
      <c r="C618" s="113"/>
      <c r="D618" s="113"/>
      <c r="E618" s="113"/>
      <c r="F618" s="113"/>
      <c r="G618" s="113"/>
      <c r="H618" s="144"/>
      <c r="I618" s="113"/>
      <c r="J618" s="113"/>
      <c r="K618" s="114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3"/>
      <c r="AL618" s="114"/>
    </row>
    <row r="619" ht="18.0" customHeight="1">
      <c r="A619" s="113"/>
      <c r="B619" s="113"/>
      <c r="C619" s="113"/>
      <c r="D619" s="113"/>
      <c r="E619" s="113"/>
      <c r="F619" s="113"/>
      <c r="G619" s="113"/>
      <c r="H619" s="144"/>
      <c r="I619" s="113"/>
      <c r="J619" s="113"/>
      <c r="K619" s="114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  <c r="AL619" s="114"/>
    </row>
    <row r="620" ht="18.0" customHeight="1">
      <c r="A620" s="113"/>
      <c r="B620" s="113"/>
      <c r="C620" s="113"/>
      <c r="D620" s="113"/>
      <c r="E620" s="113"/>
      <c r="F620" s="113"/>
      <c r="G620" s="113"/>
      <c r="H620" s="144"/>
      <c r="I620" s="113"/>
      <c r="J620" s="113"/>
      <c r="K620" s="114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  <c r="AL620" s="114"/>
    </row>
    <row r="621" ht="18.0" customHeight="1">
      <c r="A621" s="113"/>
      <c r="B621" s="113"/>
      <c r="C621" s="113"/>
      <c r="D621" s="113"/>
      <c r="E621" s="113"/>
      <c r="F621" s="113"/>
      <c r="G621" s="113"/>
      <c r="H621" s="144"/>
      <c r="I621" s="113"/>
      <c r="J621" s="113"/>
      <c r="K621" s="114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  <c r="AL621" s="114"/>
    </row>
    <row r="622" ht="18.0" customHeight="1">
      <c r="A622" s="113"/>
      <c r="B622" s="113"/>
      <c r="C622" s="113"/>
      <c r="D622" s="113"/>
      <c r="E622" s="113"/>
      <c r="F622" s="113"/>
      <c r="G622" s="113"/>
      <c r="H622" s="144"/>
      <c r="I622" s="113"/>
      <c r="J622" s="113"/>
      <c r="K622" s="114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3"/>
      <c r="AL622" s="114"/>
    </row>
    <row r="623" ht="18.0" customHeight="1">
      <c r="A623" s="113"/>
      <c r="B623" s="113"/>
      <c r="C623" s="113"/>
      <c r="D623" s="113"/>
      <c r="E623" s="113"/>
      <c r="F623" s="113"/>
      <c r="G623" s="113"/>
      <c r="H623" s="144"/>
      <c r="I623" s="113"/>
      <c r="J623" s="113"/>
      <c r="K623" s="114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  <c r="AL623" s="114"/>
    </row>
    <row r="624" ht="18.0" customHeight="1">
      <c r="A624" s="113"/>
      <c r="B624" s="113"/>
      <c r="C624" s="113"/>
      <c r="D624" s="113"/>
      <c r="E624" s="113"/>
      <c r="F624" s="113"/>
      <c r="G624" s="113"/>
      <c r="H624" s="144"/>
      <c r="I624" s="113"/>
      <c r="J624" s="113"/>
      <c r="K624" s="114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  <c r="AL624" s="114"/>
    </row>
    <row r="625" ht="18.0" customHeight="1">
      <c r="A625" s="113"/>
      <c r="B625" s="113"/>
      <c r="C625" s="113"/>
      <c r="D625" s="113"/>
      <c r="E625" s="113"/>
      <c r="F625" s="113"/>
      <c r="G625" s="113"/>
      <c r="H625" s="144"/>
      <c r="I625" s="113"/>
      <c r="J625" s="113"/>
      <c r="K625" s="114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  <c r="AL625" s="114"/>
    </row>
    <row r="626" ht="18.0" customHeight="1">
      <c r="A626" s="113"/>
      <c r="B626" s="113"/>
      <c r="C626" s="113"/>
      <c r="D626" s="113"/>
      <c r="E626" s="113"/>
      <c r="F626" s="113"/>
      <c r="G626" s="113"/>
      <c r="H626" s="144"/>
      <c r="I626" s="113"/>
      <c r="J626" s="113"/>
      <c r="K626" s="114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3"/>
      <c r="AL626" s="114"/>
    </row>
    <row r="627" ht="18.0" customHeight="1">
      <c r="A627" s="113"/>
      <c r="B627" s="113"/>
      <c r="C627" s="113"/>
      <c r="D627" s="113"/>
      <c r="E627" s="113"/>
      <c r="F627" s="113"/>
      <c r="G627" s="113"/>
      <c r="H627" s="144"/>
      <c r="I627" s="113"/>
      <c r="J627" s="113"/>
      <c r="K627" s="114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  <c r="AL627" s="114"/>
    </row>
    <row r="628" ht="18.0" customHeight="1">
      <c r="A628" s="113"/>
      <c r="B628" s="113"/>
      <c r="C628" s="113"/>
      <c r="D628" s="113"/>
      <c r="E628" s="113"/>
      <c r="F628" s="113"/>
      <c r="G628" s="113"/>
      <c r="H628" s="144"/>
      <c r="I628" s="113"/>
      <c r="J628" s="113"/>
      <c r="K628" s="114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  <c r="AL628" s="114"/>
    </row>
    <row r="629" ht="18.0" customHeight="1">
      <c r="A629" s="113"/>
      <c r="B629" s="113"/>
      <c r="C629" s="113"/>
      <c r="D629" s="113"/>
      <c r="E629" s="113"/>
      <c r="F629" s="113"/>
      <c r="G629" s="113"/>
      <c r="H629" s="144"/>
      <c r="I629" s="113"/>
      <c r="J629" s="113"/>
      <c r="K629" s="114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4"/>
    </row>
    <row r="630" ht="18.0" customHeight="1">
      <c r="A630" s="113"/>
      <c r="B630" s="113"/>
      <c r="C630" s="113"/>
      <c r="D630" s="113"/>
      <c r="E630" s="113"/>
      <c r="F630" s="113"/>
      <c r="G630" s="113"/>
      <c r="H630" s="144"/>
      <c r="I630" s="113"/>
      <c r="J630" s="113"/>
      <c r="K630" s="114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  <c r="AL630" s="114"/>
    </row>
    <row r="631" ht="18.0" customHeight="1">
      <c r="A631" s="113"/>
      <c r="B631" s="113"/>
      <c r="C631" s="113"/>
      <c r="D631" s="113"/>
      <c r="E631" s="113"/>
      <c r="F631" s="113"/>
      <c r="G631" s="113"/>
      <c r="H631" s="144"/>
      <c r="I631" s="113"/>
      <c r="J631" s="113"/>
      <c r="K631" s="114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  <c r="AL631" s="114"/>
    </row>
    <row r="632" ht="18.0" customHeight="1">
      <c r="A632" s="113"/>
      <c r="B632" s="113"/>
      <c r="C632" s="113"/>
      <c r="D632" s="113"/>
      <c r="E632" s="113"/>
      <c r="F632" s="113"/>
      <c r="G632" s="113"/>
      <c r="H632" s="144"/>
      <c r="I632" s="113"/>
      <c r="J632" s="113"/>
      <c r="K632" s="114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  <c r="AL632" s="114"/>
    </row>
    <row r="633" ht="18.0" customHeight="1">
      <c r="A633" s="113"/>
      <c r="B633" s="113"/>
      <c r="C633" s="113"/>
      <c r="D633" s="113"/>
      <c r="E633" s="113"/>
      <c r="F633" s="113"/>
      <c r="G633" s="113"/>
      <c r="H633" s="144"/>
      <c r="I633" s="113"/>
      <c r="J633" s="113"/>
      <c r="K633" s="114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3"/>
      <c r="AL633" s="114"/>
    </row>
    <row r="634" ht="18.0" customHeight="1">
      <c r="A634" s="113"/>
      <c r="B634" s="113"/>
      <c r="C634" s="113"/>
      <c r="D634" s="113"/>
      <c r="E634" s="113"/>
      <c r="F634" s="113"/>
      <c r="G634" s="113"/>
      <c r="H634" s="144"/>
      <c r="I634" s="113"/>
      <c r="J634" s="113"/>
      <c r="K634" s="114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3"/>
      <c r="AL634" s="114"/>
    </row>
    <row r="635" ht="18.0" customHeight="1">
      <c r="A635" s="113"/>
      <c r="B635" s="113"/>
      <c r="C635" s="113"/>
      <c r="D635" s="113"/>
      <c r="E635" s="113"/>
      <c r="F635" s="113"/>
      <c r="G635" s="113"/>
      <c r="H635" s="144"/>
      <c r="I635" s="113"/>
      <c r="J635" s="113"/>
      <c r="K635" s="114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3"/>
      <c r="AL635" s="114"/>
    </row>
    <row r="636" ht="18.0" customHeight="1">
      <c r="A636" s="113"/>
      <c r="B636" s="113"/>
      <c r="C636" s="113"/>
      <c r="D636" s="113"/>
      <c r="E636" s="113"/>
      <c r="F636" s="113"/>
      <c r="G636" s="113"/>
      <c r="H636" s="144"/>
      <c r="I636" s="113"/>
      <c r="J636" s="113"/>
      <c r="K636" s="114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4"/>
    </row>
    <row r="637" ht="18.0" customHeight="1">
      <c r="A637" s="113"/>
      <c r="B637" s="113"/>
      <c r="C637" s="113"/>
      <c r="D637" s="113"/>
      <c r="E637" s="113"/>
      <c r="F637" s="113"/>
      <c r="G637" s="113"/>
      <c r="H637" s="144"/>
      <c r="I637" s="113"/>
      <c r="J637" s="113"/>
      <c r="K637" s="114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  <c r="AL637" s="114"/>
    </row>
    <row r="638" ht="18.0" customHeight="1">
      <c r="A638" s="113"/>
      <c r="B638" s="113"/>
      <c r="C638" s="113"/>
      <c r="D638" s="113"/>
      <c r="E638" s="113"/>
      <c r="F638" s="113"/>
      <c r="G638" s="113"/>
      <c r="H638" s="144"/>
      <c r="I638" s="113"/>
      <c r="J638" s="113"/>
      <c r="K638" s="114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  <c r="AL638" s="114"/>
    </row>
    <row r="639" ht="18.0" customHeight="1">
      <c r="A639" s="113"/>
      <c r="B639" s="113"/>
      <c r="C639" s="113"/>
      <c r="D639" s="113"/>
      <c r="E639" s="113"/>
      <c r="F639" s="113"/>
      <c r="G639" s="113"/>
      <c r="H639" s="144"/>
      <c r="I639" s="113"/>
      <c r="J639" s="113"/>
      <c r="K639" s="114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  <c r="AL639" s="114"/>
    </row>
    <row r="640" ht="18.0" customHeight="1">
      <c r="A640" s="113"/>
      <c r="B640" s="113"/>
      <c r="C640" s="113"/>
      <c r="D640" s="113"/>
      <c r="E640" s="113"/>
      <c r="F640" s="113"/>
      <c r="G640" s="113"/>
      <c r="H640" s="144"/>
      <c r="I640" s="113"/>
      <c r="J640" s="113"/>
      <c r="K640" s="114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  <c r="AL640" s="114"/>
    </row>
    <row r="641" ht="18.0" customHeight="1">
      <c r="A641" s="113"/>
      <c r="B641" s="113"/>
      <c r="C641" s="113"/>
      <c r="D641" s="113"/>
      <c r="E641" s="113"/>
      <c r="F641" s="113"/>
      <c r="G641" s="113"/>
      <c r="H641" s="144"/>
      <c r="I641" s="113"/>
      <c r="J641" s="113"/>
      <c r="K641" s="114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  <c r="AL641" s="114"/>
    </row>
    <row r="642" ht="18.0" customHeight="1">
      <c r="A642" s="113"/>
      <c r="B642" s="113"/>
      <c r="C642" s="113"/>
      <c r="D642" s="113"/>
      <c r="E642" s="113"/>
      <c r="F642" s="113"/>
      <c r="G642" s="113"/>
      <c r="H642" s="144"/>
      <c r="I642" s="113"/>
      <c r="J642" s="113"/>
      <c r="K642" s="114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3"/>
      <c r="AL642" s="114"/>
    </row>
    <row r="643" ht="18.0" customHeight="1">
      <c r="A643" s="113"/>
      <c r="B643" s="113"/>
      <c r="C643" s="113"/>
      <c r="D643" s="113"/>
      <c r="E643" s="113"/>
      <c r="F643" s="113"/>
      <c r="G643" s="113"/>
      <c r="H643" s="144"/>
      <c r="I643" s="113"/>
      <c r="J643" s="113"/>
      <c r="K643" s="114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  <c r="AL643" s="114"/>
    </row>
    <row r="644" ht="18.0" customHeight="1">
      <c r="A644" s="113"/>
      <c r="B644" s="113"/>
      <c r="C644" s="113"/>
      <c r="D644" s="113"/>
      <c r="E644" s="113"/>
      <c r="F644" s="113"/>
      <c r="G644" s="113"/>
      <c r="H644" s="144"/>
      <c r="I644" s="113"/>
      <c r="J644" s="113"/>
      <c r="K644" s="114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  <c r="AL644" s="114"/>
    </row>
    <row r="645" ht="18.0" customHeight="1">
      <c r="A645" s="113"/>
      <c r="B645" s="113"/>
      <c r="C645" s="113"/>
      <c r="D645" s="113"/>
      <c r="E645" s="113"/>
      <c r="F645" s="113"/>
      <c r="G645" s="113"/>
      <c r="H645" s="144"/>
      <c r="I645" s="113"/>
      <c r="J645" s="113"/>
      <c r="K645" s="114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3"/>
      <c r="AL645" s="114"/>
    </row>
    <row r="646" ht="18.0" customHeight="1">
      <c r="A646" s="113"/>
      <c r="B646" s="113"/>
      <c r="C646" s="113"/>
      <c r="D646" s="113"/>
      <c r="E646" s="113"/>
      <c r="F646" s="113"/>
      <c r="G646" s="113"/>
      <c r="H646" s="144"/>
      <c r="I646" s="113"/>
      <c r="J646" s="113"/>
      <c r="K646" s="114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  <c r="AL646" s="114"/>
    </row>
    <row r="647" ht="18.0" customHeight="1">
      <c r="A647" s="113"/>
      <c r="B647" s="113"/>
      <c r="C647" s="113"/>
      <c r="D647" s="113"/>
      <c r="E647" s="113"/>
      <c r="F647" s="113"/>
      <c r="G647" s="113"/>
      <c r="H647" s="144"/>
      <c r="I647" s="113"/>
      <c r="J647" s="113"/>
      <c r="K647" s="114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  <c r="AL647" s="114"/>
    </row>
    <row r="648" ht="18.0" customHeight="1">
      <c r="A648" s="113"/>
      <c r="B648" s="113"/>
      <c r="C648" s="113"/>
      <c r="D648" s="113"/>
      <c r="E648" s="113"/>
      <c r="F648" s="113"/>
      <c r="G648" s="113"/>
      <c r="H648" s="144"/>
      <c r="I648" s="113"/>
      <c r="J648" s="113"/>
      <c r="K648" s="114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  <c r="AL648" s="114"/>
    </row>
    <row r="649" ht="18.0" customHeight="1">
      <c r="A649" s="113"/>
      <c r="B649" s="113"/>
      <c r="C649" s="113"/>
      <c r="D649" s="113"/>
      <c r="E649" s="113"/>
      <c r="F649" s="113"/>
      <c r="G649" s="113"/>
      <c r="H649" s="144"/>
      <c r="I649" s="113"/>
      <c r="J649" s="113"/>
      <c r="K649" s="114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3"/>
      <c r="AL649" s="114"/>
    </row>
    <row r="650" ht="18.0" customHeight="1">
      <c r="A650" s="113"/>
      <c r="B650" s="113"/>
      <c r="C650" s="113"/>
      <c r="D650" s="113"/>
      <c r="E650" s="113"/>
      <c r="F650" s="113"/>
      <c r="G650" s="113"/>
      <c r="H650" s="144"/>
      <c r="I650" s="113"/>
      <c r="J650" s="113"/>
      <c r="K650" s="114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3"/>
      <c r="AL650" s="114"/>
    </row>
    <row r="651" ht="18.0" customHeight="1">
      <c r="A651" s="113"/>
      <c r="B651" s="113"/>
      <c r="C651" s="113"/>
      <c r="D651" s="113"/>
      <c r="E651" s="113"/>
      <c r="F651" s="113"/>
      <c r="G651" s="113"/>
      <c r="H651" s="144"/>
      <c r="I651" s="113"/>
      <c r="J651" s="113"/>
      <c r="K651" s="114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3"/>
      <c r="AL651" s="114"/>
    </row>
    <row r="652" ht="18.0" customHeight="1">
      <c r="A652" s="113"/>
      <c r="B652" s="113"/>
      <c r="C652" s="113"/>
      <c r="D652" s="113"/>
      <c r="E652" s="113"/>
      <c r="F652" s="113"/>
      <c r="G652" s="113"/>
      <c r="H652" s="144"/>
      <c r="I652" s="113"/>
      <c r="J652" s="113"/>
      <c r="K652" s="114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3"/>
      <c r="AL652" s="114"/>
    </row>
    <row r="653" ht="18.0" customHeight="1">
      <c r="A653" s="113"/>
      <c r="B653" s="113"/>
      <c r="C653" s="113"/>
      <c r="D653" s="113"/>
      <c r="E653" s="113"/>
      <c r="F653" s="113"/>
      <c r="G653" s="113"/>
      <c r="H653" s="144"/>
      <c r="I653" s="113"/>
      <c r="J653" s="113"/>
      <c r="K653" s="114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  <c r="AL653" s="114"/>
    </row>
    <row r="654" ht="18.0" customHeight="1">
      <c r="A654" s="113"/>
      <c r="B654" s="113"/>
      <c r="C654" s="113"/>
      <c r="D654" s="113"/>
      <c r="E654" s="113"/>
      <c r="F654" s="113"/>
      <c r="G654" s="113"/>
      <c r="H654" s="144"/>
      <c r="I654" s="113"/>
      <c r="J654" s="113"/>
      <c r="K654" s="114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3"/>
      <c r="AL654" s="114"/>
    </row>
    <row r="655" ht="18.0" customHeight="1">
      <c r="A655" s="113"/>
      <c r="B655" s="113"/>
      <c r="C655" s="113"/>
      <c r="D655" s="113"/>
      <c r="E655" s="113"/>
      <c r="F655" s="113"/>
      <c r="G655" s="113"/>
      <c r="H655" s="144"/>
      <c r="I655" s="113"/>
      <c r="J655" s="113"/>
      <c r="K655" s="114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  <c r="AL655" s="114"/>
    </row>
    <row r="656" ht="18.0" customHeight="1">
      <c r="A656" s="113"/>
      <c r="B656" s="113"/>
      <c r="C656" s="113"/>
      <c r="D656" s="113"/>
      <c r="E656" s="113"/>
      <c r="F656" s="113"/>
      <c r="G656" s="113"/>
      <c r="H656" s="144"/>
      <c r="I656" s="113"/>
      <c r="J656" s="113"/>
      <c r="K656" s="114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  <c r="AL656" s="114"/>
    </row>
    <row r="657" ht="18.0" customHeight="1">
      <c r="A657" s="113"/>
      <c r="B657" s="113"/>
      <c r="C657" s="113"/>
      <c r="D657" s="113"/>
      <c r="E657" s="113"/>
      <c r="F657" s="113"/>
      <c r="G657" s="113"/>
      <c r="H657" s="144"/>
      <c r="I657" s="113"/>
      <c r="J657" s="113"/>
      <c r="K657" s="114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  <c r="AL657" s="114"/>
    </row>
    <row r="658" ht="18.0" customHeight="1">
      <c r="A658" s="113"/>
      <c r="B658" s="113"/>
      <c r="C658" s="113"/>
      <c r="D658" s="113"/>
      <c r="E658" s="113"/>
      <c r="F658" s="113"/>
      <c r="G658" s="113"/>
      <c r="H658" s="144"/>
      <c r="I658" s="113"/>
      <c r="J658" s="113"/>
      <c r="K658" s="114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3"/>
      <c r="AL658" s="114"/>
    </row>
    <row r="659" ht="18.0" customHeight="1">
      <c r="A659" s="113"/>
      <c r="B659" s="113"/>
      <c r="C659" s="113"/>
      <c r="D659" s="113"/>
      <c r="E659" s="113"/>
      <c r="F659" s="113"/>
      <c r="G659" s="113"/>
      <c r="H659" s="144"/>
      <c r="I659" s="113"/>
      <c r="J659" s="113"/>
      <c r="K659" s="114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  <c r="AL659" s="114"/>
    </row>
    <row r="660" ht="18.0" customHeight="1">
      <c r="A660" s="113"/>
      <c r="B660" s="113"/>
      <c r="C660" s="113"/>
      <c r="D660" s="113"/>
      <c r="E660" s="113"/>
      <c r="F660" s="113"/>
      <c r="G660" s="113"/>
      <c r="H660" s="144"/>
      <c r="I660" s="113"/>
      <c r="J660" s="113"/>
      <c r="K660" s="114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3"/>
      <c r="AL660" s="114"/>
    </row>
    <row r="661" ht="18.0" customHeight="1">
      <c r="A661" s="113"/>
      <c r="B661" s="113"/>
      <c r="C661" s="113"/>
      <c r="D661" s="113"/>
      <c r="E661" s="113"/>
      <c r="F661" s="113"/>
      <c r="G661" s="113"/>
      <c r="H661" s="144"/>
      <c r="I661" s="113"/>
      <c r="J661" s="113"/>
      <c r="K661" s="114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  <c r="AL661" s="114"/>
    </row>
    <row r="662" ht="18.0" customHeight="1">
      <c r="A662" s="113"/>
      <c r="B662" s="113"/>
      <c r="C662" s="113"/>
      <c r="D662" s="113"/>
      <c r="E662" s="113"/>
      <c r="F662" s="113"/>
      <c r="G662" s="113"/>
      <c r="H662" s="144"/>
      <c r="I662" s="113"/>
      <c r="J662" s="113"/>
      <c r="K662" s="114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3"/>
      <c r="AL662" s="114"/>
    </row>
    <row r="663" ht="18.0" customHeight="1">
      <c r="A663" s="113"/>
      <c r="B663" s="113"/>
      <c r="C663" s="113"/>
      <c r="D663" s="113"/>
      <c r="E663" s="113"/>
      <c r="F663" s="113"/>
      <c r="G663" s="113"/>
      <c r="H663" s="144"/>
      <c r="I663" s="113"/>
      <c r="J663" s="113"/>
      <c r="K663" s="114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  <c r="AD663" s="113"/>
      <c r="AE663" s="113"/>
      <c r="AF663" s="113"/>
      <c r="AG663" s="113"/>
      <c r="AH663" s="113"/>
      <c r="AI663" s="113"/>
      <c r="AJ663" s="113"/>
      <c r="AK663" s="113"/>
      <c r="AL663" s="114"/>
    </row>
    <row r="664" ht="18.0" customHeight="1">
      <c r="A664" s="113"/>
      <c r="B664" s="113"/>
      <c r="C664" s="113"/>
      <c r="D664" s="113"/>
      <c r="E664" s="113"/>
      <c r="F664" s="113"/>
      <c r="G664" s="113"/>
      <c r="H664" s="144"/>
      <c r="I664" s="113"/>
      <c r="J664" s="113"/>
      <c r="K664" s="114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  <c r="AL664" s="114"/>
    </row>
    <row r="665" ht="18.0" customHeight="1">
      <c r="A665" s="113"/>
      <c r="B665" s="113"/>
      <c r="C665" s="113"/>
      <c r="D665" s="113"/>
      <c r="E665" s="113"/>
      <c r="F665" s="113"/>
      <c r="G665" s="113"/>
      <c r="H665" s="144"/>
      <c r="I665" s="113"/>
      <c r="J665" s="113"/>
      <c r="K665" s="114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3"/>
      <c r="AL665" s="114"/>
    </row>
    <row r="666" ht="18.0" customHeight="1">
      <c r="A666" s="113"/>
      <c r="B666" s="113"/>
      <c r="C666" s="113"/>
      <c r="D666" s="113"/>
      <c r="E666" s="113"/>
      <c r="F666" s="113"/>
      <c r="G666" s="113"/>
      <c r="H666" s="144"/>
      <c r="I666" s="113"/>
      <c r="J666" s="113"/>
      <c r="K666" s="114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  <c r="AL666" s="114"/>
    </row>
    <row r="667" ht="18.0" customHeight="1">
      <c r="A667" s="113"/>
      <c r="B667" s="113"/>
      <c r="C667" s="113"/>
      <c r="D667" s="113"/>
      <c r="E667" s="113"/>
      <c r="F667" s="113"/>
      <c r="G667" s="113"/>
      <c r="H667" s="144"/>
      <c r="I667" s="113"/>
      <c r="J667" s="113"/>
      <c r="K667" s="114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3"/>
      <c r="AL667" s="114"/>
    </row>
    <row r="668" ht="18.0" customHeight="1">
      <c r="A668" s="113"/>
      <c r="B668" s="113"/>
      <c r="C668" s="113"/>
      <c r="D668" s="113"/>
      <c r="E668" s="113"/>
      <c r="F668" s="113"/>
      <c r="G668" s="113"/>
      <c r="H668" s="144"/>
      <c r="I668" s="113"/>
      <c r="J668" s="113"/>
      <c r="K668" s="114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3"/>
      <c r="AL668" s="114"/>
    </row>
    <row r="669" ht="18.0" customHeight="1">
      <c r="A669" s="113"/>
      <c r="B669" s="113"/>
      <c r="C669" s="113"/>
      <c r="D669" s="113"/>
      <c r="E669" s="113"/>
      <c r="F669" s="113"/>
      <c r="G669" s="113"/>
      <c r="H669" s="144"/>
      <c r="I669" s="113"/>
      <c r="J669" s="113"/>
      <c r="K669" s="114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3"/>
      <c r="AL669" s="114"/>
    </row>
    <row r="670" ht="18.0" customHeight="1">
      <c r="A670" s="113"/>
      <c r="B670" s="113"/>
      <c r="C670" s="113"/>
      <c r="D670" s="113"/>
      <c r="E670" s="113"/>
      <c r="F670" s="113"/>
      <c r="G670" s="113"/>
      <c r="H670" s="144"/>
      <c r="I670" s="113"/>
      <c r="J670" s="113"/>
      <c r="K670" s="114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  <c r="AL670" s="114"/>
    </row>
    <row r="671" ht="18.0" customHeight="1">
      <c r="A671" s="113"/>
      <c r="B671" s="113"/>
      <c r="C671" s="113"/>
      <c r="D671" s="113"/>
      <c r="E671" s="113"/>
      <c r="F671" s="113"/>
      <c r="G671" s="113"/>
      <c r="H671" s="144"/>
      <c r="I671" s="113"/>
      <c r="J671" s="113"/>
      <c r="K671" s="114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  <c r="AL671" s="114"/>
    </row>
    <row r="672" ht="18.0" customHeight="1">
      <c r="A672" s="113"/>
      <c r="B672" s="113"/>
      <c r="C672" s="113"/>
      <c r="D672" s="113"/>
      <c r="E672" s="113"/>
      <c r="F672" s="113"/>
      <c r="G672" s="113"/>
      <c r="H672" s="144"/>
      <c r="I672" s="113"/>
      <c r="J672" s="113"/>
      <c r="K672" s="114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  <c r="AL672" s="114"/>
    </row>
    <row r="673" ht="18.0" customHeight="1">
      <c r="A673" s="113"/>
      <c r="B673" s="113"/>
      <c r="C673" s="113"/>
      <c r="D673" s="113"/>
      <c r="E673" s="113"/>
      <c r="F673" s="113"/>
      <c r="G673" s="113"/>
      <c r="H673" s="144"/>
      <c r="I673" s="113"/>
      <c r="J673" s="113"/>
      <c r="K673" s="114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  <c r="AL673" s="114"/>
    </row>
    <row r="674" ht="18.0" customHeight="1">
      <c r="A674" s="113"/>
      <c r="B674" s="113"/>
      <c r="C674" s="113"/>
      <c r="D674" s="113"/>
      <c r="E674" s="113"/>
      <c r="F674" s="113"/>
      <c r="G674" s="113"/>
      <c r="H674" s="144"/>
      <c r="I674" s="113"/>
      <c r="J674" s="113"/>
      <c r="K674" s="114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4"/>
    </row>
    <row r="675" ht="18.0" customHeight="1">
      <c r="A675" s="113"/>
      <c r="B675" s="113"/>
      <c r="C675" s="113"/>
      <c r="D675" s="113"/>
      <c r="E675" s="113"/>
      <c r="F675" s="113"/>
      <c r="G675" s="113"/>
      <c r="H675" s="144"/>
      <c r="I675" s="113"/>
      <c r="J675" s="113"/>
      <c r="K675" s="114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  <c r="AL675" s="114"/>
    </row>
    <row r="676" ht="18.0" customHeight="1">
      <c r="A676" s="113"/>
      <c r="B676" s="113"/>
      <c r="C676" s="113"/>
      <c r="D676" s="113"/>
      <c r="E676" s="113"/>
      <c r="F676" s="113"/>
      <c r="G676" s="113"/>
      <c r="H676" s="144"/>
      <c r="I676" s="113"/>
      <c r="J676" s="113"/>
      <c r="K676" s="114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  <c r="AL676" s="114"/>
    </row>
    <row r="677" ht="18.0" customHeight="1">
      <c r="A677" s="113"/>
      <c r="B677" s="113"/>
      <c r="C677" s="113"/>
      <c r="D677" s="113"/>
      <c r="E677" s="113"/>
      <c r="F677" s="113"/>
      <c r="G677" s="113"/>
      <c r="H677" s="144"/>
      <c r="I677" s="113"/>
      <c r="J677" s="113"/>
      <c r="K677" s="114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  <c r="AL677" s="114"/>
    </row>
    <row r="678" ht="18.0" customHeight="1">
      <c r="A678" s="113"/>
      <c r="B678" s="113"/>
      <c r="C678" s="113"/>
      <c r="D678" s="113"/>
      <c r="E678" s="113"/>
      <c r="F678" s="113"/>
      <c r="G678" s="113"/>
      <c r="H678" s="144"/>
      <c r="I678" s="113"/>
      <c r="J678" s="113"/>
      <c r="K678" s="114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  <c r="AL678" s="114"/>
    </row>
    <row r="679" ht="18.0" customHeight="1">
      <c r="A679" s="113"/>
      <c r="B679" s="113"/>
      <c r="C679" s="113"/>
      <c r="D679" s="113"/>
      <c r="E679" s="113"/>
      <c r="F679" s="113"/>
      <c r="G679" s="113"/>
      <c r="H679" s="144"/>
      <c r="I679" s="113"/>
      <c r="J679" s="113"/>
      <c r="K679" s="114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  <c r="AL679" s="114"/>
    </row>
    <row r="680" ht="18.0" customHeight="1">
      <c r="A680" s="113"/>
      <c r="B680" s="113"/>
      <c r="C680" s="113"/>
      <c r="D680" s="113"/>
      <c r="E680" s="113"/>
      <c r="F680" s="113"/>
      <c r="G680" s="113"/>
      <c r="H680" s="144"/>
      <c r="I680" s="113"/>
      <c r="J680" s="113"/>
      <c r="K680" s="114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3"/>
      <c r="AL680" s="114"/>
    </row>
    <row r="681" ht="18.0" customHeight="1">
      <c r="A681" s="113"/>
      <c r="B681" s="113"/>
      <c r="C681" s="113"/>
      <c r="D681" s="113"/>
      <c r="E681" s="113"/>
      <c r="F681" s="113"/>
      <c r="G681" s="113"/>
      <c r="H681" s="144"/>
      <c r="I681" s="113"/>
      <c r="J681" s="113"/>
      <c r="K681" s="114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  <c r="AL681" s="114"/>
    </row>
    <row r="682" ht="18.0" customHeight="1">
      <c r="A682" s="113"/>
      <c r="B682" s="113"/>
      <c r="C682" s="113"/>
      <c r="D682" s="113"/>
      <c r="E682" s="113"/>
      <c r="F682" s="113"/>
      <c r="G682" s="113"/>
      <c r="H682" s="144"/>
      <c r="I682" s="113"/>
      <c r="J682" s="113"/>
      <c r="K682" s="114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  <c r="AL682" s="114"/>
    </row>
    <row r="683" ht="18.0" customHeight="1">
      <c r="A683" s="113"/>
      <c r="B683" s="113"/>
      <c r="C683" s="113"/>
      <c r="D683" s="113"/>
      <c r="E683" s="113"/>
      <c r="F683" s="113"/>
      <c r="G683" s="113"/>
      <c r="H683" s="144"/>
      <c r="I683" s="113"/>
      <c r="J683" s="113"/>
      <c r="K683" s="114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  <c r="AL683" s="114"/>
    </row>
    <row r="684" ht="18.0" customHeight="1">
      <c r="A684" s="113"/>
      <c r="B684" s="113"/>
      <c r="C684" s="113"/>
      <c r="D684" s="113"/>
      <c r="E684" s="113"/>
      <c r="F684" s="113"/>
      <c r="G684" s="113"/>
      <c r="H684" s="144"/>
      <c r="I684" s="113"/>
      <c r="J684" s="113"/>
      <c r="K684" s="114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  <c r="AL684" s="114"/>
    </row>
    <row r="685" ht="18.0" customHeight="1">
      <c r="A685" s="113"/>
      <c r="B685" s="113"/>
      <c r="C685" s="113"/>
      <c r="D685" s="113"/>
      <c r="E685" s="113"/>
      <c r="F685" s="113"/>
      <c r="G685" s="113"/>
      <c r="H685" s="144"/>
      <c r="I685" s="113"/>
      <c r="J685" s="113"/>
      <c r="K685" s="114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  <c r="AL685" s="114"/>
    </row>
    <row r="686" ht="18.0" customHeight="1">
      <c r="A686" s="113"/>
      <c r="B686" s="113"/>
      <c r="C686" s="113"/>
      <c r="D686" s="113"/>
      <c r="E686" s="113"/>
      <c r="F686" s="113"/>
      <c r="G686" s="113"/>
      <c r="H686" s="144"/>
      <c r="I686" s="113"/>
      <c r="J686" s="113"/>
      <c r="K686" s="114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  <c r="AL686" s="114"/>
    </row>
    <row r="687" ht="18.0" customHeight="1">
      <c r="A687" s="113"/>
      <c r="B687" s="113"/>
      <c r="C687" s="113"/>
      <c r="D687" s="113"/>
      <c r="E687" s="113"/>
      <c r="F687" s="113"/>
      <c r="G687" s="113"/>
      <c r="H687" s="144"/>
      <c r="I687" s="113"/>
      <c r="J687" s="113"/>
      <c r="K687" s="114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  <c r="AL687" s="114"/>
    </row>
    <row r="688" ht="18.0" customHeight="1">
      <c r="A688" s="113"/>
      <c r="B688" s="113"/>
      <c r="C688" s="113"/>
      <c r="D688" s="113"/>
      <c r="E688" s="113"/>
      <c r="F688" s="113"/>
      <c r="G688" s="113"/>
      <c r="H688" s="144"/>
      <c r="I688" s="113"/>
      <c r="J688" s="113"/>
      <c r="K688" s="114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  <c r="AL688" s="114"/>
    </row>
    <row r="689" ht="18.0" customHeight="1">
      <c r="A689" s="113"/>
      <c r="B689" s="113"/>
      <c r="C689" s="113"/>
      <c r="D689" s="113"/>
      <c r="E689" s="113"/>
      <c r="F689" s="113"/>
      <c r="G689" s="113"/>
      <c r="H689" s="144"/>
      <c r="I689" s="113"/>
      <c r="J689" s="113"/>
      <c r="K689" s="114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  <c r="AL689" s="114"/>
    </row>
    <row r="690" ht="18.0" customHeight="1">
      <c r="A690" s="113"/>
      <c r="B690" s="113"/>
      <c r="C690" s="113"/>
      <c r="D690" s="113"/>
      <c r="E690" s="113"/>
      <c r="F690" s="113"/>
      <c r="G690" s="113"/>
      <c r="H690" s="144"/>
      <c r="I690" s="113"/>
      <c r="J690" s="113"/>
      <c r="K690" s="114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  <c r="AL690" s="114"/>
    </row>
    <row r="691" ht="18.0" customHeight="1">
      <c r="A691" s="113"/>
      <c r="B691" s="113"/>
      <c r="C691" s="113"/>
      <c r="D691" s="113"/>
      <c r="E691" s="113"/>
      <c r="F691" s="113"/>
      <c r="G691" s="113"/>
      <c r="H691" s="144"/>
      <c r="I691" s="113"/>
      <c r="J691" s="113"/>
      <c r="K691" s="114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  <c r="AL691" s="114"/>
    </row>
    <row r="692" ht="18.0" customHeight="1">
      <c r="A692" s="113"/>
      <c r="B692" s="113"/>
      <c r="C692" s="113"/>
      <c r="D692" s="113"/>
      <c r="E692" s="113"/>
      <c r="F692" s="113"/>
      <c r="G692" s="113"/>
      <c r="H692" s="144"/>
      <c r="I692" s="113"/>
      <c r="J692" s="113"/>
      <c r="K692" s="114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  <c r="AL692" s="114"/>
    </row>
    <row r="693" ht="18.0" customHeight="1">
      <c r="A693" s="113"/>
      <c r="B693" s="113"/>
      <c r="C693" s="113"/>
      <c r="D693" s="113"/>
      <c r="E693" s="113"/>
      <c r="F693" s="113"/>
      <c r="G693" s="113"/>
      <c r="H693" s="144"/>
      <c r="I693" s="113"/>
      <c r="J693" s="113"/>
      <c r="K693" s="114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  <c r="AL693" s="114"/>
    </row>
    <row r="694" ht="18.0" customHeight="1">
      <c r="A694" s="113"/>
      <c r="B694" s="113"/>
      <c r="C694" s="113"/>
      <c r="D694" s="113"/>
      <c r="E694" s="113"/>
      <c r="F694" s="113"/>
      <c r="G694" s="113"/>
      <c r="H694" s="144"/>
      <c r="I694" s="113"/>
      <c r="J694" s="113"/>
      <c r="K694" s="114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  <c r="AL694" s="114"/>
    </row>
    <row r="695" ht="18.0" customHeight="1">
      <c r="A695" s="113"/>
      <c r="B695" s="113"/>
      <c r="C695" s="113"/>
      <c r="D695" s="113"/>
      <c r="E695" s="113"/>
      <c r="F695" s="113"/>
      <c r="G695" s="113"/>
      <c r="H695" s="144"/>
      <c r="I695" s="113"/>
      <c r="J695" s="113"/>
      <c r="K695" s="114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  <c r="AL695" s="114"/>
    </row>
    <row r="696" ht="18.0" customHeight="1">
      <c r="A696" s="113"/>
      <c r="B696" s="113"/>
      <c r="C696" s="113"/>
      <c r="D696" s="113"/>
      <c r="E696" s="113"/>
      <c r="F696" s="113"/>
      <c r="G696" s="113"/>
      <c r="H696" s="144"/>
      <c r="I696" s="113"/>
      <c r="J696" s="113"/>
      <c r="K696" s="114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4"/>
    </row>
    <row r="697" ht="18.0" customHeight="1">
      <c r="A697" s="113"/>
      <c r="B697" s="113"/>
      <c r="C697" s="113"/>
      <c r="D697" s="113"/>
      <c r="E697" s="113"/>
      <c r="F697" s="113"/>
      <c r="G697" s="113"/>
      <c r="H697" s="144"/>
      <c r="I697" s="113"/>
      <c r="J697" s="113"/>
      <c r="K697" s="114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  <c r="AL697" s="114"/>
    </row>
    <row r="698" ht="18.0" customHeight="1">
      <c r="A698" s="113"/>
      <c r="B698" s="113"/>
      <c r="C698" s="113"/>
      <c r="D698" s="113"/>
      <c r="E698" s="113"/>
      <c r="F698" s="113"/>
      <c r="G698" s="113"/>
      <c r="H698" s="144"/>
      <c r="I698" s="113"/>
      <c r="J698" s="113"/>
      <c r="K698" s="114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  <c r="AL698" s="114"/>
    </row>
    <row r="699" ht="18.0" customHeight="1">
      <c r="A699" s="113"/>
      <c r="B699" s="113"/>
      <c r="C699" s="113"/>
      <c r="D699" s="113"/>
      <c r="E699" s="113"/>
      <c r="F699" s="113"/>
      <c r="G699" s="113"/>
      <c r="H699" s="144"/>
      <c r="I699" s="113"/>
      <c r="J699" s="113"/>
      <c r="K699" s="114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  <c r="AL699" s="114"/>
    </row>
    <row r="700" ht="18.0" customHeight="1">
      <c r="A700" s="113"/>
      <c r="B700" s="113"/>
      <c r="C700" s="113"/>
      <c r="D700" s="113"/>
      <c r="E700" s="113"/>
      <c r="F700" s="113"/>
      <c r="G700" s="113"/>
      <c r="H700" s="144"/>
      <c r="I700" s="113"/>
      <c r="J700" s="113"/>
      <c r="K700" s="114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  <c r="AL700" s="114"/>
    </row>
  </sheetData>
  <hyperlinks>
    <hyperlink r:id="rId1" ref="AK3"/>
    <hyperlink r:id="rId2" ref="AK4"/>
    <hyperlink r:id="rId3" ref="AK5"/>
    <hyperlink r:id="rId4" ref="AK6"/>
    <hyperlink r:id="rId5" ref="AK7"/>
  </hyperlinks>
  <printOptions/>
  <pageMargins bottom="1.0" footer="0.0" header="0.0" left="0.75" right="0.75" top="1.0"/>
  <pageSetup orientation="portrait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2024-01-06T07:51:20Z</dcterms:created>
  <dc:creator>admin</dc:creator>
</cp:coreProperties>
</file>